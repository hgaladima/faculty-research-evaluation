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Lawali\Documents\Projects\Personal\Dr. G\Assessment_Tool\"/>
    </mc:Choice>
  </mc:AlternateContent>
  <xr:revisionPtr revIDLastSave="0" documentId="13_ncr:1_{7FB9EE85-24CC-46C7-B642-8651F3DEC0DF}" xr6:coauthVersionLast="47" xr6:coauthVersionMax="47" xr10:uidLastSave="{00000000-0000-0000-0000-000000000000}"/>
  <bookViews>
    <workbookView xWindow="-9900" yWindow="18000" windowWidth="29040" windowHeight="15720" xr2:uid="{00000000-000D-0000-FFFF-FFFF00000000}"/>
  </bookViews>
  <sheets>
    <sheet name="Instructions" sheetId="1" r:id="rId1"/>
    <sheet name="Faculty" sheetId="2" r:id="rId2"/>
    <sheet name="Publications" sheetId="3" r:id="rId3"/>
    <sheet name="Grants" sheetId="4" r:id="rId4"/>
    <sheet name="Presentations" sheetId="5" r:id="rId5"/>
    <sheet name="Other" sheetId="6" r:id="rId6"/>
    <sheet name="Dashboard" sheetId="7" r:id="rId7"/>
    <sheet name="Report" sheetId="8" r:id="rId8"/>
    <sheet name="Settings" sheetId="9" r:id="rId9"/>
    <sheet name="Calc" sheetId="10" r:id="rId10"/>
    <sheet name="Lists" sheetId="11" state="hidden" r:id="rId11"/>
    <sheet name="Defaults" sheetId="12" state="hidden" r:id="rId12"/>
  </sheets>
  <definedNames>
    <definedName name="AU_code">Settings!$B$93:$B$97</definedName>
    <definedName name="AU_label">Settings!$A$93:$A$97</definedName>
    <definedName name="c_approaching">Calc!$B$78</definedName>
    <definedName name="c_basis">Calc!$B$75</definedName>
    <definedName name="c_basisG">Calc!$B$87</definedName>
    <definedName name="c_basisP">Calc!$B$86</definedName>
    <definedName name="c_basisR">Calc!$B$88</definedName>
    <definedName name="c_bcount">Calc!$B$13</definedName>
    <definedName name="c_broad">Calc!$B$70</definedName>
    <definedName name="c_bunits">Calc!$B$14</definedName>
    <definedName name="c_by_total">Calc!$B$69</definedName>
    <definedName name="c_changed">Calc!$B$5</definedName>
    <definedName name="c_class">Calc!$B$76</definedName>
    <definedName name="c_distinct">Calc!$B$42</definedName>
    <definedName name="c_documented">Calc!$B$16</definedName>
    <definedName name="c_effort">Calc!$B$7</definedName>
    <definedName name="c_empty">Calc!$B$74</definedName>
    <definedName name="c_errG">Calc!$B$59</definedName>
    <definedName name="c_errP">Calc!$B$58</definedName>
    <definedName name="c_errR">Calc!$B$60</definedName>
    <definedName name="c_factor">Calc!$B$11</definedName>
    <definedName name="c_first">Calc!$B$9</definedName>
    <definedName name="c_flag1">Calc!$B$97</definedName>
    <definedName name="c_flag2">Calc!$B$98</definedName>
    <definedName name="c_flag3">Calc!$B$99</definedName>
    <definedName name="c_flag4">Calc!$B$100</definedName>
    <definedName name="c_flag5">Calc!$B$101</definedName>
    <definedName name="c_fracG">Calc!$B$40</definedName>
    <definedName name="c_fracP">Calc!$B$28</definedName>
    <definedName name="c_fracR">Calc!$B$50</definedName>
    <definedName name="c_g_first">Calc!$B$35</definedName>
    <definedName name="c_g_partial">Calc!$B$34</definedName>
    <definedName name="c_g_raw">Calc!$B$33</definedName>
    <definedName name="c_g_review">Calc!$B$31</definedName>
    <definedName name="c_g_roll">Calc!$B$37</definedName>
    <definedName name="c_g_units">Calc!$B$32</definedName>
    <definedName name="c_g4">Calc!$B$36</definedName>
    <definedName name="c_gap">Calc!$B$57</definedName>
    <definedName name="c_gG">Calc!$B$39</definedName>
    <definedName name="c_gP">Calc!$B$27</definedName>
    <definedName name="c_gR">Calc!$B$49</definedName>
    <definedName name="c_left1">Calc!$B$26</definedName>
    <definedName name="c_left2">Calc!$B$38</definedName>
    <definedName name="c_months">Calc!$B$8</definedName>
    <definedName name="c_needs">Calc!$B$91</definedName>
    <definedName name="c_needs_breadth">Calc!$B$71</definedName>
    <definedName name="c_not_evaluated">Calc!$B$10</definedName>
    <definedName name="c_note1">Calc!$B$92</definedName>
    <definedName name="c_note2">Calc!$B$93</definedName>
    <definedName name="c_note3">Calc!$B$94</definedName>
    <definedName name="c_note4">Calc!$B$95</definedName>
    <definedName name="c_note5">Calc!$B$96</definedName>
    <definedName name="c_on_award">Calc!$B$73</definedName>
    <definedName name="c_on_score">Calc!$B$72</definedName>
    <definedName name="c_ownG">Calc!$B$55</definedName>
    <definedName name="c_ownP">Calc!$B$54</definedName>
    <definedName name="c_ownR">Calc!$B$56</definedName>
    <definedName name="c_pid">Calc!$B$15</definedName>
    <definedName name="c_policy">Calc!$B$102</definedName>
    <definedName name="c_problems">Calc!$B$6</definedName>
    <definedName name="c_pub_annual">Calc!$B$23</definedName>
    <definedName name="c_pub_chapters">Calc!$B$21</definedName>
    <definedName name="c_pub_count">Calc!$B$20</definedName>
    <definedName name="c_pub_need">Calc!$B$24</definedName>
    <definedName name="c_pub_roll">Calc!$B$25</definedName>
    <definedName name="c_pub_units">Calc!$B$22</definedName>
    <definedName name="c_r_partial">Calc!$B$46</definedName>
    <definedName name="c_r_raw">Calc!$B$45</definedName>
    <definedName name="c_r_roll">Calc!$B$48</definedName>
    <definedName name="c_r_units">Calc!$B$44</definedName>
    <definedName name="c_r2">Calc!$B$47</definedName>
    <definedName name="c_rawG">Calc!$B$41</definedName>
    <definedName name="c_rawP">Calc!$B$29</definedName>
    <definedName name="c_rawR">Calc!$B$51</definedName>
    <definedName name="c_reason">Calc!$B$85</definedName>
    <definedName name="c_reduced">Calc!$B$17</definedName>
    <definedName name="c_sat_scale">Calc!$B$12</definedName>
    <definedName name="c_scored">Calc!$B$77</definedName>
    <definedName name="c_shareG">Calc!$B$65</definedName>
    <definedName name="c_shareP">Calc!$B$64</definedName>
    <definedName name="c_shareR">Calc!$B$66</definedName>
    <definedName name="c_showG">Calc!$B$62</definedName>
    <definedName name="c_showP">Calc!$B$61</definedName>
    <definedName name="c_showR">Calc!$B$63</definedName>
    <definedName name="c_statusG">Calc!$B$80</definedName>
    <definedName name="c_statusP">Calc!$B$79</definedName>
    <definedName name="c_statusR">Calc!$B$81</definedName>
    <definedName name="c_strengths">Calc!$B$90</definedName>
    <definedName name="c_strong_pg">Calc!$B$89</definedName>
    <definedName name="c_total">Calc!$B$53</definedName>
    <definedName name="c_unmet">Calc!$B$68</definedName>
    <definedName name="c_unmet_names">Calc!$B$84</definedName>
    <definedName name="c_unmet_pg">Calc!$B$83</definedName>
    <definedName name="c_waived">Calc!$B$18</definedName>
    <definedName name="d_fingerprint">Defaults!$J$2</definedName>
    <definedName name="ED_label">Settings!$A$129:$A$133</definedName>
    <definedName name="ED_units">Settings!$B$129:$B$133</definedName>
    <definedName name="f_appointment">Faculty!$B$8</definedName>
    <definedName name="f_department">Faculty!$B$7</definedName>
    <definedName name="f_effort">Faculty!$B$12</definedName>
    <definedName name="f_first_year">Faculty!$B$14</definedName>
    <definedName name="f_id">Faculty!$B$5</definedName>
    <definedName name="f_months">Faculty!$B$13</definedName>
    <definedName name="f_name">Faculty!$B$4</definedName>
    <definedName name="f_rank">Faculty!$B$6</definedName>
    <definedName name="f_year">Faculty!$B$9</definedName>
    <definedName name="GR_code">Settings!$B$137:$B$142</definedName>
    <definedName name="GR_gate">Settings!$E$137:$E$142</definedName>
    <definedName name="GR_label">Settings!$A$137:$A$142</definedName>
    <definedName name="GR_mult">Settings!$C$137:$C$142</definedName>
    <definedName name="GR_subst">Settings!$D$137:$D$142</definedName>
    <definedName name="GRA_active">Grants!$AF$5:$AF$34</definedName>
    <definedName name="GRA_awardgate">Grants!$AC$5:$AC$34</definedName>
    <definedName name="GRA_awardpartial">Grants!$AD$5:$AD$34</definedName>
    <definedName name="GRA_awardunits">Grants!$AB$5:$AB$34</definedName>
    <definedName name="GRA_comp">Grants!$T$5:$T$34</definedName>
    <definedName name="GRA_deduped">Grants!$Y$5:$Y$34</definedName>
    <definedName name="GRA_distinct">Grants!$AE$5:$AE$34</definedName>
    <definedName name="GRA_gaterole">Grants!$R$5:$R$34</definedName>
    <definedName name="GRA_isaward">Grants!$W$5:$W$34</definedName>
    <definedName name="GRA_issub">Grants!$V$5:$V$34</definedName>
    <definedName name="GRA_meets">Grants!$X$5:$X$34</definedName>
    <definedName name="GRA_note">Grants!$AG$5:$AG$34</definedName>
    <definedName name="GRA_ok">Grants!$N$5:$N$34</definedName>
    <definedName name="GRA_prior">Grants!$U$5:$U$34</definedName>
    <definedName name="GRA_problem">Grants!$M$5:$M$34</definedName>
    <definedName name="GRA_rolecode">Grants!$O$5:$O$34</definedName>
    <definedName name="GRA_rolemult">Grants!$P$5:$P$34</definedName>
    <definedName name="GRA_size">Grants!$S$5:$S$34</definedName>
    <definedName name="GRA_subpartial">Grants!$AA$5:$AA$34</definedName>
    <definedName name="GRA_subst">Grants!$Q$5:$Q$34</definedName>
    <definedName name="GRA_subunits">Grants!$Z$5:$Z$34</definedName>
    <definedName name="GRA_used">Grants!$L$5:$L$34</definedName>
    <definedName name="L_appointment">Lists!$C$2:$C$5</definedName>
    <definedName name="L_authorship">Lists!$F$2:$F$7</definedName>
    <definedName name="L_editorial">Lists!$O$2:$O$6</definedName>
    <definedName name="L_grantrole">Lists!$I$2:$I$8</definedName>
    <definedName name="L_presrole">Lists!$M$2:$M$5</definedName>
    <definedName name="L_prestype">Lists!$K$2:$K$11</definedName>
    <definedName name="L_pubtype">Lists!$D$2:$D$12</definedName>
    <definedName name="L_quartile">Lists!$G$2:$G$6</definedName>
    <definedName name="L_rank">Lists!$B$2:$B$5</definedName>
    <definedName name="L_review">Lists!$P$2:$P$3</definedName>
    <definedName name="L_scope">Lists!$N$2:$N$6</definedName>
    <definedName name="L_source">Lists!$H$2:$H$3</definedName>
    <definedName name="L_status">Lists!$J$2:$J$4</definedName>
    <definedName name="L_tier">Lists!$E$2:$E$6</definedName>
    <definedName name="L_venue">Lists!$L$2:$L$6</definedName>
    <definedName name="L_yesno">Lists!$A$2:$A$3</definedName>
    <definedName name="o_abstracts">Other!$B$18</definedName>
    <definedName name="o_chaired">Other!$B$14</definedName>
    <definedName name="o_grant_prior2">Other!$B$23</definedName>
    <definedName name="o_manuscripts">Other!$B$17</definedName>
    <definedName name="o_pid">Other!$B$15</definedName>
    <definedName name="o_pres_prior2">Other!$B$24</definedName>
    <definedName name="o_pubs_prior2">Other!$B$22</definedName>
    <definedName name="o_unfunded">Other!$B$16</definedName>
    <definedName name="OO_key">Settings!$A$115:$A$125</definedName>
    <definedName name="OO_units">Settings!$B$115:$B$125</definedName>
    <definedName name="OT_editorial">Other!$C$5:$C$10</definedName>
    <definedName name="OT_review">Other!$G$5:$G$7</definedName>
    <definedName name="PR_base">Settings!$B$158:$B$167</definedName>
    <definedName name="PR_label">Settings!$A$158:$A$167</definedName>
    <definedName name="PR_local">Settings!$C$158:$C$167</definedName>
    <definedName name="PRE_base">Presentations!$N$5:$N$34</definedName>
    <definedName name="PRE_gate">Presentations!$V$5:$V$34</definedName>
    <definedName name="PRE_local">Presentations!$K$5:$K$34</definedName>
    <definedName name="PRE_localunits">Presentations!$T$5:$T$34</definedName>
    <definedName name="PRE_note">Presentations!$X$5:$X$34</definedName>
    <definedName name="PRE_ok">Presentations!$M$5:$M$34</definedName>
    <definedName name="PRE_partial">Presentations!$W$5:$W$34</definedName>
    <definedName name="PRE_problem">Presentations!$L$5:$L$34</definedName>
    <definedName name="PRE_rolecode">Presentations!$O$5:$O$34</definedName>
    <definedName name="PRE_rolegate">Presentations!$Q$5:$Q$34</definedName>
    <definedName name="PRE_rolemult">Presentations!$P$5:$P$34</definedName>
    <definedName name="PRE_units">Presentations!$U$5:$U$34</definedName>
    <definedName name="PRE_used">Presentations!$J$5:$J$34</definedName>
    <definedName name="PRE_venue">Presentations!$R$5:$R$34</definedName>
    <definedName name="PRE_venuemult">Presentations!$S$5:$S$34</definedName>
    <definedName name="_xlnm.Print_Area" localSheetId="7">Report!$A$1:$E$55</definedName>
    <definedName name="PT_code">Settings!$B$101:$B$111</definedName>
    <definedName name="PT_label">Settings!$A$101:$A$111</definedName>
    <definedName name="PUB_chapter">Publications!$AG$5:$AG$44</definedName>
    <definedName name="PUB_code">Publications!$O$5:$O$44</definedName>
    <definedName name="PUB_count">Publications!$AJ$5:$AJ$44</definedName>
    <definedName name="PUB_doi">Publications!$AB$5:$AB$44</definedName>
    <definedName name="PUB_doiraw">Publications!$AA$5:$AA$44</definedName>
    <definedName name="PUB_dup">Publications!$AD$5:$AD$44</definedName>
    <definedName name="PUB_expected">Publications!$Z$5:$Z$44</definedName>
    <definedName name="PUB_impact">Publications!$AK$5:$AK$44</definedName>
    <definedName name="PUB_ischap">Publications!$AI$5:$AI$44</definedName>
    <definedName name="PUB_kept">Publications!$AC$5:$AC$44</definedName>
    <definedName name="PUB_kind">Publications!$X$5:$X$44</definedName>
    <definedName name="PUB_live">Publications!$AE$5:$AE$44</definedName>
    <definedName name="PUB_main">Publications!$AF$5:$AF$44</definedName>
    <definedName name="PUB_note">Publications!$AL$5:$AL$44</definedName>
    <definedName name="PUB_ok">Publications!$R$5:$R$44</definedName>
    <definedName name="PUB_other">Publications!$AH$5:$AH$44</definedName>
    <definedName name="PUB_otherunits">Publications!$Y$5:$Y$44</definedName>
    <definedName name="PUB_peer">Publications!$P$5:$P$44</definedName>
    <definedName name="PUB_prior">Publications!$S$5:$S$44</definedName>
    <definedName name="PUB_problem">Publications!$Q$5:$Q$44</definedName>
    <definedName name="PUB_role">Publications!$V$5:$V$44</definedName>
    <definedName name="PUB_rolemult">Publications!$W$5:$W$44</definedName>
    <definedName name="PUB_tier">Publications!$T$5:$T$44</definedName>
    <definedName name="PUB_tiermult">Publications!$U$5:$U$44</definedName>
    <definedName name="PUB_used">Publications!$N$5:$N$44</definedName>
    <definedName name="RM_code">Settings!$A$87:$A$89</definedName>
    <definedName name="RM_mult">Settings!$B$87:$B$89</definedName>
    <definedName name="RO_code">Settings!$B$178:$B$180</definedName>
    <definedName name="RO_gate">Settings!$D$178:$D$180</definedName>
    <definedName name="RO_label">Settings!$A$178:$A$180</definedName>
    <definedName name="RO_mult">Settings!$C$178:$C$180</definedName>
    <definedName name="RV_label">Settings!$A$153:$A$154</definedName>
    <definedName name="RV_units">Settings!$B$153:$B$154</definedName>
    <definedName name="s_amount_bands_large_min">Settings!$B$42</definedName>
    <definedName name="s_amount_bands_minor_max">Settings!$B$41</definedName>
    <definedName name="s_anchor_share">Settings!$B$11</definedName>
    <definedName name="s_approaching_threshold">Settings!$B$18</definedName>
    <definedName name="s_benchmark_units_G">Settings!$B$51</definedName>
    <definedName name="s_benchmark_units_P">Settings!$B$50</definedName>
    <definedName name="s_benchmark_units_R">Settings!$B$52</definedName>
    <definedName name="s_book_coauthor_mult">Settings!$B$58</definedName>
    <definedName name="s_book_units">Settings!$B$57</definedName>
    <definedName name="s_breadth_level">Settings!$B$16</definedName>
    <definedName name="s_chair_cap">Settings!$B$75</definedName>
    <definedName name="s_chair_units">Settings!$B$74</definedName>
    <definedName name="s_chapter_cap">Settings!$B$60</definedName>
    <definedName name="s_chapter_units">Settings!$B$59</definedName>
    <definedName name="s_dedupe_doi">Settings!$B$37</definedName>
    <definedName name="s_dedupe_submission_award">Settings!$B$38</definedName>
    <definedName name="s_development_cap">Settings!$B$73</definedName>
    <definedName name="s_development_units">Settings!$B$72</definedName>
    <definedName name="s_distinction_min_total">Settings!$B$17</definedName>
    <definedName name="s_distinguished_level">Settings!$B$20</definedName>
    <definedName name="s_domain_exceeds_level">Settings!$B$19</definedName>
    <definedName name="s_editorial_cap">Settings!$B$62</definedName>
    <definedName name="s_enforce_meets_threshold">Settings!$B$13</definedName>
    <definedName name="s_evaluate_zero_assignment">Settings!$B$30</definedName>
    <definedName name="s_exceeds_rule">Settings!$B$15</definedName>
    <definedName name="s_exceeds_threshold">Settings!$B$14</definedName>
    <definedName name="s_factor_max">Settings!$B$29</definedName>
    <definedName name="s_factor_min">Settings!$B$28</definedName>
    <definedName name="s_grant_gate_requires_external">Settings!$B$24</definedName>
    <definedName name="s_grant_review_cap">Settings!$B$71</definedName>
    <definedName name="s_honour_prior_year_publications">Settings!$B$39</definedName>
    <definedName name="s_impact_cap">Settings!$B$64</definedName>
    <definedName name="s_impact_units">Settings!$B$63</definedName>
    <definedName name="s_implementation_cap">Settings!$B$70</definedName>
    <definedName name="s_implementation_units">Settings!$B$69</definedName>
    <definedName name="s_local_cap">Settings!$B$76</definedName>
    <definedName name="s_meets_threshold">Settings!$B$12</definedName>
    <definedName name="s_missing_defaults_book_role">Settings!$B$47</definedName>
    <definedName name="s_missing_defaults_pres_role">Settings!$B$46</definedName>
    <definedName name="s_missing_defaults_venue">Settings!$B$45</definedName>
    <definedName name="s_noncompetitive_award_mult">Settings!$B$66</definedName>
    <definedName name="s_noncompetitive_mult">Settings!$B$65</definedName>
    <definedName name="s_normalise_ids">Settings!$B$40</definedName>
    <definedName name="s_other_output_cap">Settings!$B$61</definedName>
    <definedName name="s_policy_name">Settings!$B$4</definedName>
    <definedName name="s_policy_note">Settings!$B$5</definedName>
    <definedName name="s_pub_min_count">Settings!$B$23</definedName>
    <definedName name="s_reduced_assignment_factor">Settings!$B$31</definedName>
    <definedName name="s_reduced_assignment_rule">Settings!$B$32</definedName>
    <definedName name="s_rolling_benchmark">Settings!$B$34</definedName>
    <definedName name="s_rolling_max_domains">Settings!$B$33</definedName>
    <definedName name="s_rounding">Settings!$B$43</definedName>
    <definedName name="s_saturation_G">Settings!$B$54</definedName>
    <definedName name="s_saturation_P">Settings!$B$53</definedName>
    <definedName name="s_saturation_R">Settings!$B$55</definedName>
    <definedName name="s_scored_bonus">Settings!$B$67</definedName>
    <definedName name="s_standard_research_effort">Settings!$B$27</definedName>
    <definedName name="s_student_mentee_increment">Settings!$B$56</definedName>
    <definedName name="s_submission_cap">Settings!$B$68</definedName>
    <definedName name="s_total_from_rounded_parts">Settings!$B$44</definedName>
    <definedName name="s_weights_G">Settings!$B$9</definedName>
    <definedName name="s_weights_P">Settings!$B$8</definedName>
    <definedName name="s_weights_R">Settings!$B$10</definedName>
    <definedName name="SZ_award">Settings!$C$146:$C$149</definedName>
    <definedName name="SZ_band">Settings!$A$146:$A$149</definedName>
    <definedName name="SZ_sub">Settings!$B$146:$B$149</definedName>
    <definedName name="TR_label">Settings!$A$80:$A$83</definedName>
    <definedName name="TR_mult">Settings!$C$80:$C$83</definedName>
    <definedName name="TR_num">Settings!$B$80:$B$83</definedName>
    <definedName name="VN_code">Settings!$B$171:$B$174</definedName>
    <definedName name="VN_label">Settings!$A$171:$A$174</definedName>
    <definedName name="VN_mult">Settings!$C$171:$C$174</definedName>
    <definedName name="x_awards">Other!$B$27</definedName>
    <definedName name="x_community">Other!$B$29</definedName>
    <definedName name="x_mentoring">Other!$B$28</definedName>
    <definedName name="x_notes">Other!$B$30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0" l="1"/>
  <c r="B16" i="10"/>
  <c r="B18" i="10" s="1"/>
  <c r="B15" i="10"/>
  <c r="B9" i="10"/>
  <c r="B8" i="10"/>
  <c r="B7" i="10"/>
  <c r="B11" i="10" s="1"/>
  <c r="B5" i="10"/>
  <c r="B102" i="10" s="1"/>
  <c r="B49" i="8"/>
  <c r="B48" i="8"/>
  <c r="B47" i="8"/>
  <c r="B46" i="8"/>
  <c r="C19" i="8"/>
  <c r="C18" i="8"/>
  <c r="C17" i="8"/>
  <c r="B10" i="8"/>
  <c r="B9" i="8"/>
  <c r="B8" i="8"/>
  <c r="B7" i="8"/>
  <c r="B6" i="8"/>
  <c r="B5" i="8"/>
  <c r="B4" i="8"/>
  <c r="B3" i="8"/>
  <c r="C12" i="7"/>
  <c r="C11" i="7"/>
  <c r="C10" i="7"/>
  <c r="A3" i="7"/>
  <c r="C10" i="6"/>
  <c r="C9" i="6"/>
  <c r="C8" i="6"/>
  <c r="G7" i="6"/>
  <c r="C7" i="6"/>
  <c r="G6" i="6"/>
  <c r="C6" i="6"/>
  <c r="G5" i="6"/>
  <c r="B31" i="10" s="1"/>
  <c r="C5" i="6"/>
  <c r="B43" i="8" s="1"/>
  <c r="J34" i="5"/>
  <c r="L34" i="5" s="1"/>
  <c r="J33" i="5"/>
  <c r="K33" i="5" s="1"/>
  <c r="J32" i="5"/>
  <c r="K32" i="5" s="1"/>
  <c r="J31" i="5"/>
  <c r="J30" i="5"/>
  <c r="J29" i="5"/>
  <c r="K29" i="5" s="1"/>
  <c r="J28" i="5"/>
  <c r="J27" i="5"/>
  <c r="J26" i="5"/>
  <c r="K26" i="5" s="1"/>
  <c r="J25" i="5"/>
  <c r="L25" i="5" s="1"/>
  <c r="M25" i="5" s="1"/>
  <c r="J24" i="5"/>
  <c r="J23" i="5"/>
  <c r="L23" i="5" s="1"/>
  <c r="J22" i="5"/>
  <c r="J21" i="5"/>
  <c r="J20" i="5"/>
  <c r="J19" i="5"/>
  <c r="L19" i="5" s="1"/>
  <c r="M19" i="5" s="1"/>
  <c r="J18" i="5"/>
  <c r="K18" i="5" s="1"/>
  <c r="J17" i="5"/>
  <c r="K17" i="5" s="1"/>
  <c r="J16" i="5"/>
  <c r="L16" i="5" s="1"/>
  <c r="M16" i="5" s="1"/>
  <c r="J15" i="5"/>
  <c r="L15" i="5" s="1"/>
  <c r="J14" i="5"/>
  <c r="J13" i="5"/>
  <c r="J12" i="5"/>
  <c r="L12" i="5" s="1"/>
  <c r="M12" i="5" s="1"/>
  <c r="J11" i="5"/>
  <c r="L11" i="5" s="1"/>
  <c r="M11" i="5" s="1"/>
  <c r="J10" i="5"/>
  <c r="L10" i="5" s="1"/>
  <c r="M10" i="5" s="1"/>
  <c r="J9" i="5"/>
  <c r="L9" i="5" s="1"/>
  <c r="M9" i="5" s="1"/>
  <c r="J8" i="5"/>
  <c r="J7" i="5"/>
  <c r="J6" i="5"/>
  <c r="J5" i="5"/>
  <c r="K5" i="5" s="1"/>
  <c r="U34" i="4"/>
  <c r="T34" i="4"/>
  <c r="L34" i="4"/>
  <c r="M34" i="4" s="1"/>
  <c r="U33" i="4"/>
  <c r="T33" i="4"/>
  <c r="L33" i="4"/>
  <c r="U32" i="4"/>
  <c r="T32" i="4"/>
  <c r="L32" i="4"/>
  <c r="U31" i="4"/>
  <c r="T31" i="4"/>
  <c r="L31" i="4"/>
  <c r="U30" i="4"/>
  <c r="T30" i="4"/>
  <c r="L30" i="4"/>
  <c r="U29" i="4"/>
  <c r="T29" i="4"/>
  <c r="L29" i="4"/>
  <c r="M29" i="4" s="1"/>
  <c r="N29" i="4" s="1"/>
  <c r="U28" i="4"/>
  <c r="T28" i="4"/>
  <c r="L28" i="4"/>
  <c r="U27" i="4"/>
  <c r="T27" i="4"/>
  <c r="L27" i="4"/>
  <c r="M27" i="4" s="1"/>
  <c r="N27" i="4" s="1"/>
  <c r="U26" i="4"/>
  <c r="T26" i="4"/>
  <c r="L26" i="4"/>
  <c r="U25" i="4"/>
  <c r="T25" i="4"/>
  <c r="L25" i="4"/>
  <c r="M25" i="4" s="1"/>
  <c r="U24" i="4"/>
  <c r="T24" i="4"/>
  <c r="L24" i="4"/>
  <c r="U23" i="4"/>
  <c r="T23" i="4"/>
  <c r="L23" i="4"/>
  <c r="M23" i="4" s="1"/>
  <c r="U22" i="4"/>
  <c r="T22" i="4"/>
  <c r="L22" i="4"/>
  <c r="U21" i="4"/>
  <c r="T21" i="4"/>
  <c r="L21" i="4"/>
  <c r="U20" i="4"/>
  <c r="T20" i="4"/>
  <c r="L20" i="4"/>
  <c r="U19" i="4"/>
  <c r="T19" i="4"/>
  <c r="L19" i="4"/>
  <c r="U18" i="4"/>
  <c r="T18" i="4"/>
  <c r="L18" i="4"/>
  <c r="U17" i="4"/>
  <c r="T17" i="4"/>
  <c r="L17" i="4"/>
  <c r="U16" i="4"/>
  <c r="T16" i="4"/>
  <c r="L16" i="4"/>
  <c r="M16" i="4" s="1"/>
  <c r="N16" i="4" s="1"/>
  <c r="AG16" i="4" s="1"/>
  <c r="U15" i="4"/>
  <c r="T15" i="4"/>
  <c r="L15" i="4"/>
  <c r="M15" i="4" s="1"/>
  <c r="U14" i="4"/>
  <c r="T14" i="4"/>
  <c r="L14" i="4"/>
  <c r="M14" i="4" s="1"/>
  <c r="U13" i="4"/>
  <c r="T13" i="4"/>
  <c r="L13" i="4"/>
  <c r="M13" i="4" s="1"/>
  <c r="N13" i="4" s="1"/>
  <c r="U12" i="4"/>
  <c r="T12" i="4"/>
  <c r="L12" i="4"/>
  <c r="M12" i="4" s="1"/>
  <c r="N12" i="4" s="1"/>
  <c r="U11" i="4"/>
  <c r="T11" i="4"/>
  <c r="L11" i="4"/>
  <c r="U10" i="4"/>
  <c r="T10" i="4"/>
  <c r="L10" i="4"/>
  <c r="U9" i="4"/>
  <c r="T9" i="4"/>
  <c r="L9" i="4"/>
  <c r="M9" i="4" s="1"/>
  <c r="U8" i="4"/>
  <c r="T8" i="4"/>
  <c r="L8" i="4"/>
  <c r="U7" i="4"/>
  <c r="T7" i="4"/>
  <c r="L7" i="4"/>
  <c r="U6" i="4"/>
  <c r="T6" i="4"/>
  <c r="L6" i="4"/>
  <c r="M6" i="4" s="1"/>
  <c r="N6" i="4" s="1"/>
  <c r="O6" i="4" s="1"/>
  <c r="U5" i="4"/>
  <c r="T5" i="4"/>
  <c r="L5" i="4"/>
  <c r="T44" i="3"/>
  <c r="U44" i="3" s="1"/>
  <c r="P44" i="3"/>
  <c r="N44" i="3"/>
  <c r="Q44" i="3" s="1"/>
  <c r="R44" i="3" s="1"/>
  <c r="T43" i="3"/>
  <c r="U43" i="3" s="1"/>
  <c r="P43" i="3"/>
  <c r="N43" i="3"/>
  <c r="O43" i="3" s="1"/>
  <c r="V43" i="3" s="1"/>
  <c r="W43" i="3" s="1"/>
  <c r="T42" i="3"/>
  <c r="U42" i="3" s="1"/>
  <c r="P42" i="3"/>
  <c r="N42" i="3"/>
  <c r="U41" i="3"/>
  <c r="T41" i="3"/>
  <c r="P41" i="3"/>
  <c r="N41" i="3"/>
  <c r="O41" i="3" s="1"/>
  <c r="V41" i="3" s="1"/>
  <c r="W41" i="3" s="1"/>
  <c r="T40" i="3"/>
  <c r="U40" i="3" s="1"/>
  <c r="P40" i="3"/>
  <c r="N40" i="3"/>
  <c r="O40" i="3" s="1"/>
  <c r="V40" i="3" s="1"/>
  <c r="W40" i="3" s="1"/>
  <c r="T39" i="3"/>
  <c r="U39" i="3" s="1"/>
  <c r="P39" i="3"/>
  <c r="N39" i="3"/>
  <c r="T38" i="3"/>
  <c r="U38" i="3" s="1"/>
  <c r="P38" i="3"/>
  <c r="N38" i="3"/>
  <c r="T37" i="3"/>
  <c r="U37" i="3" s="1"/>
  <c r="P37" i="3"/>
  <c r="N37" i="3"/>
  <c r="T36" i="3"/>
  <c r="U36" i="3" s="1"/>
  <c r="P36" i="3"/>
  <c r="N36" i="3"/>
  <c r="O36" i="3" s="1"/>
  <c r="V36" i="3" s="1"/>
  <c r="W36" i="3" s="1"/>
  <c r="T35" i="3"/>
  <c r="U35" i="3" s="1"/>
  <c r="Q35" i="3"/>
  <c r="R35" i="3" s="1"/>
  <c r="P35" i="3"/>
  <c r="N35" i="3"/>
  <c r="O35" i="3" s="1"/>
  <c r="V35" i="3" s="1"/>
  <c r="W35" i="3" s="1"/>
  <c r="T34" i="3"/>
  <c r="U34" i="3" s="1"/>
  <c r="P34" i="3"/>
  <c r="N34" i="3"/>
  <c r="Q34" i="3" s="1"/>
  <c r="T33" i="3"/>
  <c r="U33" i="3" s="1"/>
  <c r="P33" i="3"/>
  <c r="N33" i="3"/>
  <c r="T32" i="3"/>
  <c r="U32" i="3" s="1"/>
  <c r="P32" i="3"/>
  <c r="N32" i="3"/>
  <c r="Q32" i="3" s="1"/>
  <c r="T31" i="3"/>
  <c r="U31" i="3" s="1"/>
  <c r="P31" i="3"/>
  <c r="N31" i="3"/>
  <c r="O31" i="3" s="1"/>
  <c r="V31" i="3" s="1"/>
  <c r="W31" i="3" s="1"/>
  <c r="T30" i="3"/>
  <c r="U30" i="3" s="1"/>
  <c r="P30" i="3"/>
  <c r="N30" i="3"/>
  <c r="U29" i="3"/>
  <c r="T29" i="3"/>
  <c r="P29" i="3"/>
  <c r="N29" i="3"/>
  <c r="T28" i="3"/>
  <c r="U28" i="3" s="1"/>
  <c r="P28" i="3"/>
  <c r="N28" i="3"/>
  <c r="T27" i="3"/>
  <c r="U27" i="3" s="1"/>
  <c r="P27" i="3"/>
  <c r="N27" i="3"/>
  <c r="O27" i="3" s="1"/>
  <c r="V27" i="3" s="1"/>
  <c r="W27" i="3" s="1"/>
  <c r="T26" i="3"/>
  <c r="U26" i="3" s="1"/>
  <c r="P26" i="3"/>
  <c r="N26" i="3"/>
  <c r="O26" i="3" s="1"/>
  <c r="V26" i="3" s="1"/>
  <c r="W26" i="3" s="1"/>
  <c r="T25" i="3"/>
  <c r="U25" i="3" s="1"/>
  <c r="P25" i="3"/>
  <c r="N25" i="3"/>
  <c r="O25" i="3" s="1"/>
  <c r="V25" i="3" s="1"/>
  <c r="W25" i="3" s="1"/>
  <c r="T24" i="3"/>
  <c r="U24" i="3" s="1"/>
  <c r="P24" i="3"/>
  <c r="N24" i="3"/>
  <c r="Q24" i="3" s="1"/>
  <c r="R24" i="3" s="1"/>
  <c r="T23" i="3"/>
  <c r="U23" i="3" s="1"/>
  <c r="P23" i="3"/>
  <c r="N23" i="3"/>
  <c r="T22" i="3"/>
  <c r="U22" i="3" s="1"/>
  <c r="P22" i="3"/>
  <c r="N22" i="3"/>
  <c r="T21" i="3"/>
  <c r="U21" i="3" s="1"/>
  <c r="P21" i="3"/>
  <c r="N21" i="3"/>
  <c r="Q21" i="3" s="1"/>
  <c r="T20" i="3"/>
  <c r="U20" i="3" s="1"/>
  <c r="P20" i="3"/>
  <c r="N20" i="3"/>
  <c r="O20" i="3" s="1"/>
  <c r="V20" i="3" s="1"/>
  <c r="W20" i="3" s="1"/>
  <c r="T19" i="3"/>
  <c r="U19" i="3" s="1"/>
  <c r="P19" i="3"/>
  <c r="N19" i="3"/>
  <c r="T18" i="3"/>
  <c r="U18" i="3" s="1"/>
  <c r="P18" i="3"/>
  <c r="N18" i="3"/>
  <c r="T17" i="3"/>
  <c r="U17" i="3" s="1"/>
  <c r="P17" i="3"/>
  <c r="N17" i="3"/>
  <c r="O17" i="3" s="1"/>
  <c r="V17" i="3" s="1"/>
  <c r="W17" i="3" s="1"/>
  <c r="T16" i="3"/>
  <c r="U16" i="3" s="1"/>
  <c r="P16" i="3"/>
  <c r="N16" i="3"/>
  <c r="Q16" i="3" s="1"/>
  <c r="T15" i="3"/>
  <c r="U15" i="3" s="1"/>
  <c r="P15" i="3"/>
  <c r="N15" i="3"/>
  <c r="O15" i="3" s="1"/>
  <c r="V15" i="3" s="1"/>
  <c r="W15" i="3" s="1"/>
  <c r="T14" i="3"/>
  <c r="U14" i="3" s="1"/>
  <c r="P14" i="3"/>
  <c r="N14" i="3"/>
  <c r="T13" i="3"/>
  <c r="U13" i="3" s="1"/>
  <c r="P13" i="3"/>
  <c r="N13" i="3"/>
  <c r="Q13" i="3" s="1"/>
  <c r="T12" i="3"/>
  <c r="U12" i="3" s="1"/>
  <c r="P12" i="3"/>
  <c r="N12" i="3"/>
  <c r="T11" i="3"/>
  <c r="U11" i="3" s="1"/>
  <c r="P11" i="3"/>
  <c r="N11" i="3"/>
  <c r="Q11" i="3" s="1"/>
  <c r="T10" i="3"/>
  <c r="U10" i="3" s="1"/>
  <c r="P10" i="3"/>
  <c r="N10" i="3"/>
  <c r="Q10" i="3" s="1"/>
  <c r="R10" i="3" s="1"/>
  <c r="S10" i="3" s="1"/>
  <c r="T9" i="3"/>
  <c r="U9" i="3" s="1"/>
  <c r="P9" i="3"/>
  <c r="N9" i="3"/>
  <c r="Q9" i="3" s="1"/>
  <c r="T8" i="3"/>
  <c r="U8" i="3" s="1"/>
  <c r="P8" i="3"/>
  <c r="N8" i="3"/>
  <c r="O8" i="3" s="1"/>
  <c r="V8" i="3" s="1"/>
  <c r="W8" i="3" s="1"/>
  <c r="T7" i="3"/>
  <c r="U7" i="3" s="1"/>
  <c r="P7" i="3"/>
  <c r="N7" i="3"/>
  <c r="Q7" i="3" s="1"/>
  <c r="R7" i="3" s="1"/>
  <c r="V6" i="3"/>
  <c r="W6" i="3" s="1"/>
  <c r="T6" i="3"/>
  <c r="U6" i="3" s="1"/>
  <c r="P6" i="3"/>
  <c r="N6" i="3"/>
  <c r="O6" i="3" s="1"/>
  <c r="T5" i="3"/>
  <c r="U5" i="3" s="1"/>
  <c r="P5" i="3"/>
  <c r="N5" i="3"/>
  <c r="C12" i="2"/>
  <c r="N24" i="4" l="1"/>
  <c r="X19" i="5"/>
  <c r="W19" i="5"/>
  <c r="R29" i="3"/>
  <c r="O13" i="4"/>
  <c r="AE13" i="4" s="1"/>
  <c r="AG13" i="4"/>
  <c r="R13" i="4"/>
  <c r="AC13" i="4" s="1"/>
  <c r="Q13" i="4"/>
  <c r="AF13" i="4" s="1"/>
  <c r="S13" i="4"/>
  <c r="P13" i="4"/>
  <c r="K19" i="5"/>
  <c r="O7" i="3"/>
  <c r="V7" i="3" s="1"/>
  <c r="W7" i="3" s="1"/>
  <c r="Q36" i="3"/>
  <c r="L5" i="5"/>
  <c r="K25" i="5"/>
  <c r="T25" i="5" s="1"/>
  <c r="Q31" i="3"/>
  <c r="R31" i="3" s="1"/>
  <c r="L26" i="5"/>
  <c r="K10" i="5"/>
  <c r="R10" i="5" s="1"/>
  <c r="S10" i="5" s="1"/>
  <c r="K12" i="5"/>
  <c r="T12" i="5" s="1"/>
  <c r="N14" i="4"/>
  <c r="Q14" i="4" s="1"/>
  <c r="AF14" i="4" s="1"/>
  <c r="AL10" i="3"/>
  <c r="Q20" i="3"/>
  <c r="R20" i="3" s="1"/>
  <c r="AL20" i="3" s="1"/>
  <c r="W6" i="4"/>
  <c r="M24" i="4"/>
  <c r="L33" i="5"/>
  <c r="M33" i="5" s="1"/>
  <c r="AG6" i="4"/>
  <c r="O29" i="3"/>
  <c r="V29" i="3" s="1"/>
  <c r="W29" i="3" s="1"/>
  <c r="Q29" i="3"/>
  <c r="O24" i="3"/>
  <c r="V24" i="3" s="1"/>
  <c r="W24" i="3" s="1"/>
  <c r="R36" i="3"/>
  <c r="M5" i="5"/>
  <c r="N5" i="5" s="1"/>
  <c r="Q15" i="3"/>
  <c r="R15" i="3" s="1"/>
  <c r="X15" i="3" s="1"/>
  <c r="Y15" i="3" s="1"/>
  <c r="Q43" i="3"/>
  <c r="R43" i="3" s="1"/>
  <c r="Q8" i="3"/>
  <c r="R8" i="3" s="1"/>
  <c r="M28" i="4"/>
  <c r="N28" i="4" s="1"/>
  <c r="K9" i="5"/>
  <c r="R9" i="5" s="1"/>
  <c r="S9" i="5" s="1"/>
  <c r="M26" i="5"/>
  <c r="X26" i="5" s="1"/>
  <c r="W13" i="4"/>
  <c r="X10" i="3"/>
  <c r="Y10" i="3" s="1"/>
  <c r="Z10" i="3"/>
  <c r="AA10" i="3"/>
  <c r="AB10" i="3" s="1"/>
  <c r="M15" i="5"/>
  <c r="R15" i="5" s="1"/>
  <c r="S15" i="5" s="1"/>
  <c r="Q40" i="3"/>
  <c r="K15" i="5"/>
  <c r="Q6" i="3"/>
  <c r="R6" i="3" s="1"/>
  <c r="X6" i="3" s="1"/>
  <c r="Y6" i="3" s="1"/>
  <c r="AL24" i="3"/>
  <c r="X24" i="3"/>
  <c r="Y24" i="3" s="1"/>
  <c r="AA24" i="3"/>
  <c r="AB24" i="3" s="1"/>
  <c r="AC24" i="3" s="1"/>
  <c r="Z24" i="3"/>
  <c r="S24" i="3"/>
  <c r="AL44" i="3"/>
  <c r="AA44" i="3"/>
  <c r="AB44" i="3" s="1"/>
  <c r="AC44" i="3" s="1"/>
  <c r="AD44" i="3"/>
  <c r="Z44" i="3"/>
  <c r="X44" i="3"/>
  <c r="Y44" i="3" s="1"/>
  <c r="S44" i="3"/>
  <c r="AE44" i="3" s="1"/>
  <c r="X25" i="5"/>
  <c r="W25" i="5"/>
  <c r="O25" i="5"/>
  <c r="Q25" i="5"/>
  <c r="P25" i="5"/>
  <c r="N25" i="5"/>
  <c r="O9" i="3"/>
  <c r="V9" i="3" s="1"/>
  <c r="W9" i="3" s="1"/>
  <c r="AL6" i="3"/>
  <c r="Z6" i="3"/>
  <c r="AA6" i="3"/>
  <c r="AB6" i="3" s="1"/>
  <c r="AC6" i="3" s="1"/>
  <c r="AG12" i="4"/>
  <c r="O12" i="4"/>
  <c r="Q12" i="4"/>
  <c r="AF12" i="4" s="1"/>
  <c r="W12" i="4"/>
  <c r="S12" i="4"/>
  <c r="V12" i="4"/>
  <c r="R12" i="4"/>
  <c r="P12" i="4"/>
  <c r="S6" i="3"/>
  <c r="O21" i="3"/>
  <c r="V21" i="3" s="1"/>
  <c r="W21" i="3" s="1"/>
  <c r="N34" i="4"/>
  <c r="P15" i="5"/>
  <c r="O15" i="5"/>
  <c r="N15" i="5"/>
  <c r="W15" i="5"/>
  <c r="X15" i="5"/>
  <c r="T15" i="5"/>
  <c r="M17" i="4"/>
  <c r="N17" i="4" s="1"/>
  <c r="AC10" i="3"/>
  <c r="AD10" i="3" s="1"/>
  <c r="AE10" i="3" s="1"/>
  <c r="R21" i="3"/>
  <c r="Q12" i="3"/>
  <c r="R12" i="3" s="1"/>
  <c r="W12" i="5"/>
  <c r="X12" i="5"/>
  <c r="R12" i="5"/>
  <c r="S12" i="5" s="1"/>
  <c r="N12" i="5"/>
  <c r="Q12" i="5"/>
  <c r="P12" i="5"/>
  <c r="O12" i="5"/>
  <c r="T16" i="5"/>
  <c r="R16" i="5"/>
  <c r="S16" i="5" s="1"/>
  <c r="Q16" i="5"/>
  <c r="P16" i="5"/>
  <c r="O16" i="5"/>
  <c r="U16" i="5"/>
  <c r="N16" i="5"/>
  <c r="W16" i="5"/>
  <c r="X16" i="5"/>
  <c r="V29" i="4"/>
  <c r="S29" i="4"/>
  <c r="W29" i="4"/>
  <c r="AG29" i="4"/>
  <c r="R29" i="4"/>
  <c r="O29" i="4"/>
  <c r="Q29" i="4"/>
  <c r="AF29" i="4" s="1"/>
  <c r="P29" i="4"/>
  <c r="O11" i="3"/>
  <c r="V11" i="3" s="1"/>
  <c r="W11" i="3" s="1"/>
  <c r="R11" i="3"/>
  <c r="Q18" i="3"/>
  <c r="R18" i="3"/>
  <c r="O18" i="3"/>
  <c r="V18" i="3" s="1"/>
  <c r="W18" i="3" s="1"/>
  <c r="V12" i="5"/>
  <c r="R9" i="3"/>
  <c r="K27" i="5"/>
  <c r="L27" i="5"/>
  <c r="M27" i="5" s="1"/>
  <c r="X35" i="3"/>
  <c r="Y35" i="3" s="1"/>
  <c r="AL35" i="3"/>
  <c r="Z35" i="3"/>
  <c r="AA35" i="3"/>
  <c r="AB35" i="3" s="1"/>
  <c r="AC35" i="3" s="1"/>
  <c r="S35" i="3"/>
  <c r="AB6" i="4"/>
  <c r="R32" i="3"/>
  <c r="L20" i="5"/>
  <c r="M20" i="5" s="1"/>
  <c r="K20" i="5"/>
  <c r="O12" i="3"/>
  <c r="V12" i="3" s="1"/>
  <c r="W12" i="3" s="1"/>
  <c r="M31" i="4"/>
  <c r="N31" i="4" s="1"/>
  <c r="O32" i="3"/>
  <c r="V32" i="3" s="1"/>
  <c r="W32" i="3" s="1"/>
  <c r="S14" i="4"/>
  <c r="P14" i="4"/>
  <c r="AG14" i="4"/>
  <c r="Q9" i="5"/>
  <c r="P9" i="5"/>
  <c r="N9" i="5"/>
  <c r="X9" i="5"/>
  <c r="W9" i="5"/>
  <c r="O9" i="5"/>
  <c r="O14" i="4"/>
  <c r="W10" i="5"/>
  <c r="P10" i="5"/>
  <c r="T10" i="5"/>
  <c r="Q10" i="5"/>
  <c r="N10" i="5"/>
  <c r="O10" i="5"/>
  <c r="X10" i="5"/>
  <c r="X11" i="5"/>
  <c r="W11" i="5"/>
  <c r="P11" i="5"/>
  <c r="O11" i="5"/>
  <c r="Q11" i="5"/>
  <c r="N11" i="5"/>
  <c r="Q19" i="3"/>
  <c r="R19" i="3" s="1"/>
  <c r="O19" i="3"/>
  <c r="V19" i="3" s="1"/>
  <c r="W19" i="3" s="1"/>
  <c r="L6" i="5"/>
  <c r="M6" i="5" s="1"/>
  <c r="R13" i="3"/>
  <c r="L17" i="5"/>
  <c r="M17" i="5"/>
  <c r="L24" i="5"/>
  <c r="M24" i="5" s="1"/>
  <c r="N25" i="4"/>
  <c r="M32" i="4"/>
  <c r="N32" i="4" s="1"/>
  <c r="O13" i="3"/>
  <c r="V13" i="3" s="1"/>
  <c r="W13" i="3" s="1"/>
  <c r="Q30" i="3"/>
  <c r="R30" i="3" s="1"/>
  <c r="K6" i="5"/>
  <c r="S7" i="3"/>
  <c r="X7" i="3"/>
  <c r="Y7" i="3" s="1"/>
  <c r="AA7" i="3"/>
  <c r="AB7" i="3" s="1"/>
  <c r="AC7" i="3" s="1"/>
  <c r="Z7" i="3"/>
  <c r="O42" i="3"/>
  <c r="V42" i="3" s="1"/>
  <c r="W42" i="3" s="1"/>
  <c r="Q42" i="3"/>
  <c r="R42" i="3" s="1"/>
  <c r="P6" i="4"/>
  <c r="K24" i="5"/>
  <c r="N15" i="4"/>
  <c r="O30" i="3"/>
  <c r="V30" i="3" s="1"/>
  <c r="W30" i="3" s="1"/>
  <c r="K23" i="5"/>
  <c r="M23" i="5"/>
  <c r="Q17" i="3"/>
  <c r="R17" i="3" s="1"/>
  <c r="R6" i="4"/>
  <c r="Z20" i="3"/>
  <c r="O37" i="3"/>
  <c r="V37" i="3" s="1"/>
  <c r="W37" i="3" s="1"/>
  <c r="Q37" i="3"/>
  <c r="R37" i="3" s="1"/>
  <c r="T19" i="5"/>
  <c r="R19" i="5"/>
  <c r="P19" i="5"/>
  <c r="O19" i="5"/>
  <c r="N19" i="5"/>
  <c r="M34" i="5"/>
  <c r="K34" i="5"/>
  <c r="N9" i="4"/>
  <c r="Q6" i="4"/>
  <c r="AF6" i="4" s="1"/>
  <c r="R14" i="3"/>
  <c r="AA20" i="3"/>
  <c r="AB20" i="3" s="1"/>
  <c r="L7" i="5"/>
  <c r="M7" i="5" s="1"/>
  <c r="Q19" i="5"/>
  <c r="R16" i="3"/>
  <c r="O16" i="3"/>
  <c r="V16" i="3" s="1"/>
  <c r="W16" i="3" s="1"/>
  <c r="Q26" i="3"/>
  <c r="R26" i="3"/>
  <c r="AL7" i="3"/>
  <c r="S6" i="4"/>
  <c r="R40" i="3"/>
  <c r="V6" i="4"/>
  <c r="AB13" i="4"/>
  <c r="K7" i="5"/>
  <c r="M7" i="4"/>
  <c r="N7" i="4" s="1"/>
  <c r="L32" i="5"/>
  <c r="M32" i="5" s="1"/>
  <c r="B40" i="7"/>
  <c r="A51" i="8"/>
  <c r="Q38" i="3"/>
  <c r="R38" i="3" s="1"/>
  <c r="M8" i="4"/>
  <c r="N8" i="4" s="1"/>
  <c r="V13" i="4"/>
  <c r="M21" i="5"/>
  <c r="O38" i="3"/>
  <c r="V38" i="3" s="1"/>
  <c r="W38" i="3" s="1"/>
  <c r="L31" i="5"/>
  <c r="M31" i="5" s="1"/>
  <c r="B74" i="10"/>
  <c r="W24" i="4"/>
  <c r="O5" i="3"/>
  <c r="V5" i="3" s="1"/>
  <c r="W5" i="3" s="1"/>
  <c r="Q27" i="3"/>
  <c r="R27" i="3" s="1"/>
  <c r="N11" i="4"/>
  <c r="M19" i="4"/>
  <c r="N19" i="4"/>
  <c r="W27" i="4"/>
  <c r="V27" i="4"/>
  <c r="P27" i="4"/>
  <c r="O27" i="4"/>
  <c r="AG27" i="4"/>
  <c r="Q27" i="4"/>
  <c r="AF27" i="4" s="1"/>
  <c r="Q5" i="3"/>
  <c r="R27" i="4"/>
  <c r="L18" i="5"/>
  <c r="M18" i="5" s="1"/>
  <c r="Q22" i="3"/>
  <c r="R22" i="3"/>
  <c r="M5" i="4"/>
  <c r="N5" i="4" s="1"/>
  <c r="O22" i="3"/>
  <c r="V22" i="3" s="1"/>
  <c r="W22" i="3" s="1"/>
  <c r="K31" i="5"/>
  <c r="AA31" i="3"/>
  <c r="AB31" i="3" s="1"/>
  <c r="AC31" i="3" s="1"/>
  <c r="AD31" i="3"/>
  <c r="R5" i="3"/>
  <c r="S27" i="4"/>
  <c r="A38" i="7"/>
  <c r="B13" i="10"/>
  <c r="B12" i="10"/>
  <c r="R33" i="3"/>
  <c r="M21" i="4"/>
  <c r="N21" i="4" s="1"/>
  <c r="M30" i="4"/>
  <c r="N30" i="4" s="1"/>
  <c r="L29" i="5"/>
  <c r="Q41" i="3"/>
  <c r="R41" i="3" s="1"/>
  <c r="M29" i="5"/>
  <c r="N23" i="4"/>
  <c r="R39" i="3"/>
  <c r="P16" i="4"/>
  <c r="O16" i="4"/>
  <c r="W16" i="4"/>
  <c r="V16" i="4"/>
  <c r="S16" i="4"/>
  <c r="R16" i="4"/>
  <c r="Q16" i="4"/>
  <c r="AF16" i="4" s="1"/>
  <c r="B17" i="10"/>
  <c r="L13" i="5"/>
  <c r="M13" i="5" s="1"/>
  <c r="M18" i="4"/>
  <c r="N18" i="4" s="1"/>
  <c r="O28" i="3"/>
  <c r="V28" i="3" s="1"/>
  <c r="W28" i="3" s="1"/>
  <c r="O34" i="3"/>
  <c r="V34" i="3" s="1"/>
  <c r="W34" i="3" s="1"/>
  <c r="O39" i="3"/>
  <c r="V39" i="3" s="1"/>
  <c r="W39" i="3" s="1"/>
  <c r="K16" i="5"/>
  <c r="M11" i="4"/>
  <c r="M22" i="4"/>
  <c r="N22" i="4" s="1"/>
  <c r="K22" i="5"/>
  <c r="M33" i="4"/>
  <c r="N33" i="4" s="1"/>
  <c r="O23" i="3"/>
  <c r="V23" i="3" s="1"/>
  <c r="W23" i="3" s="1"/>
  <c r="Q23" i="3"/>
  <c r="R23" i="3" s="1"/>
  <c r="L22" i="5"/>
  <c r="M22" i="5" s="1"/>
  <c r="K13" i="5"/>
  <c r="M20" i="4"/>
  <c r="N20" i="4" s="1"/>
  <c r="Q28" i="3"/>
  <c r="R28" i="3" s="1"/>
  <c r="R34" i="3"/>
  <c r="Q39" i="3"/>
  <c r="O44" i="3"/>
  <c r="V44" i="3" s="1"/>
  <c r="W44" i="3" s="1"/>
  <c r="K8" i="5"/>
  <c r="K30" i="5"/>
  <c r="L8" i="5"/>
  <c r="M8" i="5" s="1"/>
  <c r="L30" i="5"/>
  <c r="M30" i="5" s="1"/>
  <c r="K14" i="5"/>
  <c r="K21" i="5"/>
  <c r="L28" i="5"/>
  <c r="M28" i="5" s="1"/>
  <c r="K28" i="5"/>
  <c r="O14" i="3"/>
  <c r="V14" i="3" s="1"/>
  <c r="W14" i="3" s="1"/>
  <c r="O10" i="3"/>
  <c r="V10" i="3" s="1"/>
  <c r="W10" i="3" s="1"/>
  <c r="L14" i="5"/>
  <c r="M14" i="5" s="1"/>
  <c r="L21" i="5"/>
  <c r="B10" i="10"/>
  <c r="O33" i="3"/>
  <c r="V33" i="3" s="1"/>
  <c r="W33" i="3" s="1"/>
  <c r="Q33" i="3"/>
  <c r="Q14" i="3"/>
  <c r="Q25" i="3"/>
  <c r="R25" i="3" s="1"/>
  <c r="M10" i="4"/>
  <c r="N10" i="4" s="1"/>
  <c r="M26" i="4"/>
  <c r="N26" i="4" s="1"/>
  <c r="K11" i="5"/>
  <c r="R11" i="5" s="1"/>
  <c r="AL8" i="3" l="1"/>
  <c r="S8" i="3"/>
  <c r="AA8" i="3"/>
  <c r="AB8" i="3" s="1"/>
  <c r="AC8" i="3" s="1"/>
  <c r="Z8" i="3"/>
  <c r="AD8" i="3"/>
  <c r="X8" i="3"/>
  <c r="Y8" i="3" s="1"/>
  <c r="S28" i="4"/>
  <c r="Q28" i="4"/>
  <c r="AF28" i="4" s="1"/>
  <c r="W28" i="4"/>
  <c r="V28" i="4"/>
  <c r="R28" i="4"/>
  <c r="AG28" i="4"/>
  <c r="O28" i="4"/>
  <c r="P28" i="4"/>
  <c r="P33" i="5"/>
  <c r="W33" i="5"/>
  <c r="T33" i="5"/>
  <c r="R33" i="5"/>
  <c r="Q33" i="5"/>
  <c r="X33" i="5"/>
  <c r="N33" i="5"/>
  <c r="V33" i="5"/>
  <c r="O33" i="5"/>
  <c r="AD35" i="3"/>
  <c r="AE35" i="3" s="1"/>
  <c r="AJ35" i="3" s="1"/>
  <c r="Q26" i="5"/>
  <c r="V26" i="5" s="1"/>
  <c r="T26" i="5"/>
  <c r="S15" i="3"/>
  <c r="W26" i="5"/>
  <c r="T9" i="5"/>
  <c r="Z15" i="3"/>
  <c r="P26" i="5"/>
  <c r="V16" i="5"/>
  <c r="AA15" i="3"/>
  <c r="AB15" i="3" s="1"/>
  <c r="AC15" i="3" s="1"/>
  <c r="S29" i="3"/>
  <c r="AL29" i="3"/>
  <c r="X29" i="3"/>
  <c r="Y29" i="3" s="1"/>
  <c r="AA29" i="3"/>
  <c r="AB29" i="3" s="1"/>
  <c r="AC29" i="3" s="1"/>
  <c r="AD29" i="3" s="1"/>
  <c r="AE29" i="3" s="1"/>
  <c r="Z29" i="3"/>
  <c r="AA43" i="3"/>
  <c r="AB43" i="3" s="1"/>
  <c r="AC43" i="3" s="1"/>
  <c r="Z43" i="3"/>
  <c r="X43" i="3"/>
  <c r="Y43" i="3" s="1"/>
  <c r="Q5" i="5"/>
  <c r="X5" i="5"/>
  <c r="T5" i="5"/>
  <c r="W5" i="5"/>
  <c r="R5" i="5"/>
  <c r="R26" i="5"/>
  <c r="S26" i="5" s="1"/>
  <c r="AD13" i="4"/>
  <c r="R14" i="4"/>
  <c r="AD14" i="4" s="1"/>
  <c r="T11" i="5"/>
  <c r="S31" i="3"/>
  <c r="AL31" i="3"/>
  <c r="X31" i="3"/>
  <c r="Y31" i="3" s="1"/>
  <c r="Z31" i="3"/>
  <c r="AE6" i="4"/>
  <c r="O24" i="4"/>
  <c r="S24" i="4"/>
  <c r="AE24" i="4" s="1"/>
  <c r="R24" i="4"/>
  <c r="AC24" i="4" s="1"/>
  <c r="Q24" i="4"/>
  <c r="P24" i="4"/>
  <c r="AF24" i="4"/>
  <c r="AG24" i="4"/>
  <c r="N26" i="5"/>
  <c r="O26" i="5"/>
  <c r="AL36" i="3"/>
  <c r="X36" i="3"/>
  <c r="Y36" i="3" s="1"/>
  <c r="AA36" i="3"/>
  <c r="AB36" i="3" s="1"/>
  <c r="Z36" i="3"/>
  <c r="S36" i="3"/>
  <c r="AE31" i="3"/>
  <c r="AG31" i="3" s="1"/>
  <c r="AL15" i="3"/>
  <c r="AD6" i="4"/>
  <c r="W14" i="4"/>
  <c r="V14" i="4"/>
  <c r="V24" i="4"/>
  <c r="S43" i="3"/>
  <c r="P5" i="5"/>
  <c r="X20" i="3"/>
  <c r="Y20" i="3" s="1"/>
  <c r="AL43" i="3"/>
  <c r="R25" i="5"/>
  <c r="S25" i="5" s="1"/>
  <c r="O5" i="5"/>
  <c r="Q15" i="5"/>
  <c r="V15" i="5" s="1"/>
  <c r="S20" i="3"/>
  <c r="U15" i="5"/>
  <c r="P7" i="4"/>
  <c r="O7" i="4"/>
  <c r="W7" i="4"/>
  <c r="V7" i="4"/>
  <c r="S7" i="4"/>
  <c r="Q7" i="4"/>
  <c r="AF7" i="4" s="1"/>
  <c r="R7" i="4"/>
  <c r="AG7" i="4"/>
  <c r="W6" i="5"/>
  <c r="X6" i="5"/>
  <c r="O6" i="5"/>
  <c r="T6" i="5"/>
  <c r="Q6" i="5"/>
  <c r="N6" i="5"/>
  <c r="P6" i="5"/>
  <c r="R6" i="5"/>
  <c r="S6" i="5" s="1"/>
  <c r="S18" i="4"/>
  <c r="R18" i="4"/>
  <c r="Q18" i="4"/>
  <c r="P18" i="4"/>
  <c r="O18" i="4"/>
  <c r="W18" i="4"/>
  <c r="V18" i="4"/>
  <c r="AF18" i="4"/>
  <c r="AG18" i="4"/>
  <c r="N13" i="5"/>
  <c r="T13" i="5"/>
  <c r="R13" i="5"/>
  <c r="S13" i="5" s="1"/>
  <c r="O13" i="5"/>
  <c r="Q13" i="5"/>
  <c r="P13" i="5"/>
  <c r="X13" i="5"/>
  <c r="W13" i="5"/>
  <c r="X18" i="5"/>
  <c r="W18" i="5"/>
  <c r="T18" i="5"/>
  <c r="R18" i="5"/>
  <c r="S18" i="5" s="1"/>
  <c r="Q18" i="5"/>
  <c r="P18" i="5"/>
  <c r="N18" i="5"/>
  <c r="O18" i="5"/>
  <c r="Z17" i="3"/>
  <c r="AA17" i="3"/>
  <c r="AB17" i="3" s="1"/>
  <c r="AC17" i="3" s="1"/>
  <c r="AD17" i="3"/>
  <c r="X17" i="3"/>
  <c r="Y17" i="3" s="1"/>
  <c r="S17" i="3"/>
  <c r="AL17" i="3"/>
  <c r="Z19" i="3"/>
  <c r="AA19" i="3"/>
  <c r="AB19" i="3" s="1"/>
  <c r="AC19" i="3" s="1"/>
  <c r="AL19" i="3"/>
  <c r="X19" i="3"/>
  <c r="Y19" i="3" s="1"/>
  <c r="S19" i="3"/>
  <c r="Q28" i="5"/>
  <c r="P28" i="5"/>
  <c r="O28" i="5"/>
  <c r="N28" i="5"/>
  <c r="X28" i="5"/>
  <c r="T28" i="5"/>
  <c r="R28" i="5"/>
  <c r="S28" i="5" s="1"/>
  <c r="W28" i="5"/>
  <c r="O30" i="5"/>
  <c r="N30" i="5"/>
  <c r="T30" i="5"/>
  <c r="Q30" i="5"/>
  <c r="R30" i="5"/>
  <c r="S30" i="5" s="1"/>
  <c r="P30" i="5"/>
  <c r="X30" i="5"/>
  <c r="W30" i="5"/>
  <c r="AG31" i="4"/>
  <c r="S31" i="4"/>
  <c r="P31" i="4"/>
  <c r="R31" i="4"/>
  <c r="Q31" i="4"/>
  <c r="AF31" i="4" s="1"/>
  <c r="O31" i="4"/>
  <c r="W31" i="4"/>
  <c r="V31" i="4"/>
  <c r="Z12" i="3"/>
  <c r="X12" i="3"/>
  <c r="Y12" i="3" s="1"/>
  <c r="S12" i="3"/>
  <c r="AL12" i="3"/>
  <c r="AA12" i="3"/>
  <c r="AB12" i="3" s="1"/>
  <c r="AC12" i="3" s="1"/>
  <c r="W8" i="5"/>
  <c r="X8" i="5"/>
  <c r="P8" i="5"/>
  <c r="O8" i="5"/>
  <c r="N8" i="5"/>
  <c r="T8" i="5"/>
  <c r="R8" i="5"/>
  <c r="S8" i="5" s="1"/>
  <c r="Q8" i="5"/>
  <c r="X20" i="5"/>
  <c r="W20" i="5"/>
  <c r="R20" i="5"/>
  <c r="S20" i="5" s="1"/>
  <c r="T20" i="5"/>
  <c r="Q20" i="5"/>
  <c r="V20" i="5" s="1"/>
  <c r="P20" i="5"/>
  <c r="O20" i="5"/>
  <c r="N20" i="5"/>
  <c r="AA42" i="3"/>
  <c r="AB42" i="3" s="1"/>
  <c r="AC42" i="3" s="1"/>
  <c r="Z42" i="3"/>
  <c r="S42" i="3"/>
  <c r="AL42" i="3"/>
  <c r="X42" i="3"/>
  <c r="Y42" i="3" s="1"/>
  <c r="S17" i="4"/>
  <c r="W17" i="4"/>
  <c r="V17" i="4"/>
  <c r="O17" i="4"/>
  <c r="AG17" i="4"/>
  <c r="R17" i="4"/>
  <c r="Q17" i="4"/>
  <c r="AF17" i="4" s="1"/>
  <c r="P17" i="4"/>
  <c r="S41" i="3"/>
  <c r="Z41" i="3"/>
  <c r="AA41" i="3"/>
  <c r="AB41" i="3" s="1"/>
  <c r="AC41" i="3" s="1"/>
  <c r="AL41" i="3"/>
  <c r="X41" i="3"/>
  <c r="Y41" i="3" s="1"/>
  <c r="V30" i="4"/>
  <c r="S30" i="4"/>
  <c r="R30" i="4"/>
  <c r="Q30" i="4"/>
  <c r="AF30" i="4" s="1"/>
  <c r="P30" i="4"/>
  <c r="O30" i="4"/>
  <c r="W30" i="4"/>
  <c r="AG30" i="4"/>
  <c r="AK44" i="3"/>
  <c r="AF44" i="3"/>
  <c r="AJ44" i="3"/>
  <c r="AI44" i="3"/>
  <c r="AH44" i="3"/>
  <c r="AG44" i="3"/>
  <c r="AL28" i="3"/>
  <c r="S28" i="3"/>
  <c r="Z28" i="3"/>
  <c r="X28" i="3"/>
  <c r="Y28" i="3" s="1"/>
  <c r="AA28" i="3"/>
  <c r="AB28" i="3" s="1"/>
  <c r="AC28" i="3" s="1"/>
  <c r="S11" i="5"/>
  <c r="U11" i="5"/>
  <c r="V11" i="5"/>
  <c r="R31" i="5"/>
  <c r="S31" i="5" s="1"/>
  <c r="Q31" i="5"/>
  <c r="P31" i="5"/>
  <c r="O31" i="5"/>
  <c r="N31" i="5"/>
  <c r="X31" i="5"/>
  <c r="W31" i="5"/>
  <c r="V31" i="5"/>
  <c r="T31" i="5"/>
  <c r="S33" i="4"/>
  <c r="R33" i="4"/>
  <c r="W33" i="4"/>
  <c r="V33" i="4"/>
  <c r="P33" i="4"/>
  <c r="Q33" i="4"/>
  <c r="AF33" i="4" s="1"/>
  <c r="O33" i="4"/>
  <c r="AG33" i="4"/>
  <c r="AG10" i="4"/>
  <c r="W10" i="4"/>
  <c r="Q10" i="4"/>
  <c r="AF10" i="4" s="1"/>
  <c r="O10" i="4"/>
  <c r="P10" i="4"/>
  <c r="V10" i="4"/>
  <c r="S10" i="4"/>
  <c r="R10" i="4"/>
  <c r="AG32" i="4"/>
  <c r="V32" i="4"/>
  <c r="W32" i="4"/>
  <c r="S32" i="4"/>
  <c r="R32" i="4"/>
  <c r="Q32" i="4"/>
  <c r="O32" i="4"/>
  <c r="AF32" i="4"/>
  <c r="P32" i="4"/>
  <c r="X27" i="5"/>
  <c r="R27" i="5"/>
  <c r="S27" i="5" s="1"/>
  <c r="Q27" i="5"/>
  <c r="P27" i="5"/>
  <c r="O27" i="5"/>
  <c r="N27" i="5"/>
  <c r="W27" i="5"/>
  <c r="T27" i="5"/>
  <c r="AA25" i="3"/>
  <c r="AB25" i="3" s="1"/>
  <c r="AC25" i="3" s="1"/>
  <c r="Z25" i="3"/>
  <c r="S25" i="3"/>
  <c r="AL25" i="3"/>
  <c r="X25" i="3"/>
  <c r="Y25" i="3" s="1"/>
  <c r="V8" i="4"/>
  <c r="Q8" i="4"/>
  <c r="S8" i="4"/>
  <c r="R8" i="4"/>
  <c r="P8" i="4"/>
  <c r="W8" i="4"/>
  <c r="O8" i="4"/>
  <c r="AG8" i="4"/>
  <c r="AF8" i="4"/>
  <c r="X24" i="5"/>
  <c r="W24" i="5"/>
  <c r="R24" i="5"/>
  <c r="S24" i="5" s="1"/>
  <c r="T24" i="5"/>
  <c r="P24" i="5"/>
  <c r="O24" i="5"/>
  <c r="N24" i="5"/>
  <c r="Q24" i="5"/>
  <c r="V24" i="5" s="1"/>
  <c r="AA38" i="3"/>
  <c r="AB38" i="3" s="1"/>
  <c r="AC38" i="3" s="1"/>
  <c r="Z38" i="3"/>
  <c r="X38" i="3"/>
  <c r="Y38" i="3" s="1"/>
  <c r="AL38" i="3"/>
  <c r="S38" i="3"/>
  <c r="AE15" i="3"/>
  <c r="AL37" i="3"/>
  <c r="S37" i="3"/>
  <c r="AA37" i="3"/>
  <c r="AB37" i="3" s="1"/>
  <c r="AC37" i="3" s="1"/>
  <c r="Z37" i="3"/>
  <c r="X37" i="3"/>
  <c r="Y37" i="3" s="1"/>
  <c r="S5" i="4"/>
  <c r="O5" i="4"/>
  <c r="R5" i="4"/>
  <c r="Q5" i="4"/>
  <c r="AF5" i="4" s="1"/>
  <c r="P5" i="4"/>
  <c r="V5" i="4"/>
  <c r="W5" i="4"/>
  <c r="AG5" i="4"/>
  <c r="Q32" i="5"/>
  <c r="P32" i="5"/>
  <c r="O32" i="5"/>
  <c r="X32" i="5"/>
  <c r="W32" i="5"/>
  <c r="T32" i="5"/>
  <c r="N32" i="5"/>
  <c r="R32" i="5"/>
  <c r="S32" i="5" s="1"/>
  <c r="AL5" i="3"/>
  <c r="AA5" i="3"/>
  <c r="AB5" i="3" s="1"/>
  <c r="AC5" i="3" s="1"/>
  <c r="Z5" i="3"/>
  <c r="X5" i="3"/>
  <c r="Y5" i="3" s="1"/>
  <c r="S5" i="3"/>
  <c r="AD5" i="3"/>
  <c r="AI10" i="3"/>
  <c r="AF10" i="3"/>
  <c r="AH10" i="3"/>
  <c r="AG10" i="3"/>
  <c r="AJ10" i="3"/>
  <c r="AK10" i="3"/>
  <c r="T21" i="5"/>
  <c r="O21" i="5"/>
  <c r="N21" i="5"/>
  <c r="X21" i="5"/>
  <c r="W21" i="5"/>
  <c r="R21" i="5"/>
  <c r="S21" i="5" s="1"/>
  <c r="Q21" i="5"/>
  <c r="P21" i="5"/>
  <c r="Y13" i="4"/>
  <c r="Z13" i="4"/>
  <c r="X13" i="4"/>
  <c r="AA13" i="4" s="1"/>
  <c r="S22" i="3"/>
  <c r="AL22" i="3"/>
  <c r="AA22" i="3"/>
  <c r="AB22" i="3" s="1"/>
  <c r="AC22" i="3" s="1"/>
  <c r="Z22" i="3"/>
  <c r="X22" i="3"/>
  <c r="Y22" i="3" s="1"/>
  <c r="AD7" i="3"/>
  <c r="AE7" i="3" s="1"/>
  <c r="AL9" i="3"/>
  <c r="Z9" i="3"/>
  <c r="AA9" i="3"/>
  <c r="AB9" i="3" s="1"/>
  <c r="AC9" i="3" s="1"/>
  <c r="X9" i="3"/>
  <c r="Y9" i="3" s="1"/>
  <c r="S9" i="3"/>
  <c r="S19" i="5"/>
  <c r="V19" i="5"/>
  <c r="Y28" i="4"/>
  <c r="AB16" i="4"/>
  <c r="AE16" i="4"/>
  <c r="AD16" i="4"/>
  <c r="AC16" i="4"/>
  <c r="R20" i="4"/>
  <c r="Q20" i="4"/>
  <c r="AF20" i="4" s="1"/>
  <c r="P20" i="4"/>
  <c r="S20" i="4"/>
  <c r="O20" i="4"/>
  <c r="AG20" i="4"/>
  <c r="V20" i="4"/>
  <c r="W20" i="4"/>
  <c r="U10" i="5"/>
  <c r="R17" i="5"/>
  <c r="S17" i="5" s="1"/>
  <c r="Q17" i="5"/>
  <c r="P17" i="5"/>
  <c r="U17" i="5"/>
  <c r="X17" i="5"/>
  <c r="W17" i="5"/>
  <c r="V17" i="5"/>
  <c r="T17" i="5"/>
  <c r="O17" i="5"/>
  <c r="N17" i="5"/>
  <c r="AE12" i="4"/>
  <c r="AD12" i="4"/>
  <c r="AC12" i="4"/>
  <c r="AB12" i="4"/>
  <c r="AC29" i="4"/>
  <c r="AE29" i="4"/>
  <c r="AD29" i="4"/>
  <c r="AB29" i="4"/>
  <c r="AG9" i="4"/>
  <c r="Q9" i="4"/>
  <c r="AF9" i="4" s="1"/>
  <c r="S9" i="4"/>
  <c r="P9" i="4"/>
  <c r="O9" i="4"/>
  <c r="R9" i="4"/>
  <c r="W9" i="4"/>
  <c r="V9" i="4"/>
  <c r="Z30" i="3"/>
  <c r="X30" i="3"/>
  <c r="Y30" i="3" s="1"/>
  <c r="AL30" i="3"/>
  <c r="S30" i="3"/>
  <c r="AA30" i="3"/>
  <c r="AB30" i="3" s="1"/>
  <c r="AC30" i="3" s="1"/>
  <c r="B6" i="10"/>
  <c r="B75" i="10" s="1"/>
  <c r="O14" i="5"/>
  <c r="N14" i="5"/>
  <c r="X14" i="5"/>
  <c r="W14" i="5"/>
  <c r="Q14" i="5"/>
  <c r="P14" i="5"/>
  <c r="T14" i="5"/>
  <c r="R14" i="5"/>
  <c r="S14" i="5" s="1"/>
  <c r="X29" i="5"/>
  <c r="W29" i="5"/>
  <c r="O29" i="5"/>
  <c r="N29" i="5"/>
  <c r="R29" i="5"/>
  <c r="S29" i="5" s="1"/>
  <c r="P29" i="5"/>
  <c r="T29" i="5"/>
  <c r="Q29" i="5"/>
  <c r="V10" i="5"/>
  <c r="AA34" i="3"/>
  <c r="AB34" i="3" s="1"/>
  <c r="AC34" i="3" s="1"/>
  <c r="Z34" i="3"/>
  <c r="X34" i="3"/>
  <c r="Y34" i="3" s="1"/>
  <c r="S34" i="3"/>
  <c r="AL34" i="3"/>
  <c r="W25" i="4"/>
  <c r="V25" i="4"/>
  <c r="AG25" i="4"/>
  <c r="Q25" i="4"/>
  <c r="AF25" i="4" s="1"/>
  <c r="O25" i="4"/>
  <c r="S25" i="4"/>
  <c r="R25" i="4"/>
  <c r="P25" i="4"/>
  <c r="AD27" i="4"/>
  <c r="AC27" i="4"/>
  <c r="AB27" i="4"/>
  <c r="AE27" i="4"/>
  <c r="AG15" i="4"/>
  <c r="W15" i="4"/>
  <c r="V15" i="4"/>
  <c r="S15" i="4"/>
  <c r="R15" i="4"/>
  <c r="Q15" i="4"/>
  <c r="AF15" i="4" s="1"/>
  <c r="O15" i="4"/>
  <c r="P15" i="4"/>
  <c r="Z13" i="3"/>
  <c r="X13" i="3"/>
  <c r="Y13" i="3" s="1"/>
  <c r="AA13" i="3"/>
  <c r="AB13" i="3" s="1"/>
  <c r="AC13" i="3" s="1"/>
  <c r="AL13" i="3"/>
  <c r="S13" i="3"/>
  <c r="W11" i="4"/>
  <c r="V11" i="4"/>
  <c r="S11" i="4"/>
  <c r="P11" i="4"/>
  <c r="O11" i="4"/>
  <c r="AG11" i="4"/>
  <c r="R11" i="4"/>
  <c r="Q11" i="4"/>
  <c r="AF11" i="4" s="1"/>
  <c r="V9" i="5"/>
  <c r="B14" i="10"/>
  <c r="B24" i="10"/>
  <c r="S16" i="3"/>
  <c r="Z16" i="3"/>
  <c r="AA16" i="3"/>
  <c r="AB16" i="3" s="1"/>
  <c r="AC16" i="3" s="1"/>
  <c r="X16" i="3"/>
  <c r="Y16" i="3" s="1"/>
  <c r="AL16" i="3"/>
  <c r="AD6" i="3"/>
  <c r="AE6" i="3" s="1"/>
  <c r="S14" i="3"/>
  <c r="AL14" i="3"/>
  <c r="Z14" i="3"/>
  <c r="AA14" i="3"/>
  <c r="AB14" i="3" s="1"/>
  <c r="AC14" i="3" s="1"/>
  <c r="X14" i="3"/>
  <c r="Y14" i="3" s="1"/>
  <c r="U9" i="5"/>
  <c r="U25" i="5"/>
  <c r="AC28" i="4"/>
  <c r="AB28" i="4"/>
  <c r="AD28" i="4"/>
  <c r="AE28" i="4"/>
  <c r="U19" i="5"/>
  <c r="S39" i="3"/>
  <c r="X39" i="3"/>
  <c r="Y39" i="3" s="1"/>
  <c r="AL39" i="3"/>
  <c r="Z39" i="3"/>
  <c r="AA39" i="3"/>
  <c r="AB39" i="3" s="1"/>
  <c r="AC39" i="3" s="1"/>
  <c r="AL27" i="3"/>
  <c r="X27" i="3"/>
  <c r="Y27" i="3" s="1"/>
  <c r="S27" i="3"/>
  <c r="Z27" i="3"/>
  <c r="AA27" i="3"/>
  <c r="AB27" i="3" s="1"/>
  <c r="AC27" i="3" s="1"/>
  <c r="Z11" i="3"/>
  <c r="X11" i="3"/>
  <c r="Y11" i="3" s="1"/>
  <c r="S11" i="3"/>
  <c r="AA11" i="3"/>
  <c r="AB11" i="3" s="1"/>
  <c r="AC11" i="3" s="1"/>
  <c r="AL11" i="3"/>
  <c r="AD24" i="3"/>
  <c r="AE24" i="3" s="1"/>
  <c r="V22" i="4"/>
  <c r="Q22" i="4"/>
  <c r="AF22" i="4" s="1"/>
  <c r="S22" i="4"/>
  <c r="R22" i="4"/>
  <c r="P22" i="4"/>
  <c r="O22" i="4"/>
  <c r="W22" i="4"/>
  <c r="AG22" i="4"/>
  <c r="Y29" i="4"/>
  <c r="Z29" i="4" s="1"/>
  <c r="X29" i="4"/>
  <c r="AA29" i="4"/>
  <c r="AD15" i="3"/>
  <c r="X16" i="4"/>
  <c r="Y16" i="4"/>
  <c r="AA16" i="4" s="1"/>
  <c r="AG26" i="4"/>
  <c r="Q26" i="4"/>
  <c r="AF26" i="4" s="1"/>
  <c r="P26" i="4"/>
  <c r="O26" i="4"/>
  <c r="S26" i="4"/>
  <c r="R26" i="4"/>
  <c r="W26" i="4"/>
  <c r="V26" i="4"/>
  <c r="Y12" i="4"/>
  <c r="Z12" i="4"/>
  <c r="X12" i="4"/>
  <c r="AA12" i="4" s="1"/>
  <c r="AA40" i="3"/>
  <c r="AB40" i="3" s="1"/>
  <c r="AC40" i="3" s="1"/>
  <c r="Z40" i="3"/>
  <c r="AL40" i="3"/>
  <c r="S40" i="3"/>
  <c r="X40" i="3"/>
  <c r="Y40" i="3" s="1"/>
  <c r="X27" i="4"/>
  <c r="Y27" i="4"/>
  <c r="R19" i="4"/>
  <c r="Q19" i="4"/>
  <c r="P19" i="4"/>
  <c r="O19" i="4"/>
  <c r="AG19" i="4"/>
  <c r="AF19" i="4"/>
  <c r="S19" i="4"/>
  <c r="V19" i="4"/>
  <c r="W19" i="4"/>
  <c r="AC20" i="3"/>
  <c r="AD20" i="3" s="1"/>
  <c r="AE20" i="3" s="1"/>
  <c r="R34" i="5"/>
  <c r="S34" i="5" s="1"/>
  <c r="Q34" i="5"/>
  <c r="T34" i="5"/>
  <c r="X34" i="5"/>
  <c r="W34" i="5"/>
  <c r="V34" i="5"/>
  <c r="U34" i="5"/>
  <c r="P34" i="5"/>
  <c r="O34" i="5"/>
  <c r="N34" i="5"/>
  <c r="Y14" i="4"/>
  <c r="X14" i="4"/>
  <c r="V25" i="5"/>
  <c r="Z32" i="3"/>
  <c r="AA32" i="3"/>
  <c r="AB32" i="3" s="1"/>
  <c r="AC32" i="3" s="1"/>
  <c r="AL32" i="3"/>
  <c r="X32" i="3"/>
  <c r="Y32" i="3" s="1"/>
  <c r="S32" i="3"/>
  <c r="U12" i="5"/>
  <c r="X26" i="3"/>
  <c r="Y26" i="3" s="1"/>
  <c r="Z26" i="3"/>
  <c r="S26" i="3"/>
  <c r="AA26" i="3"/>
  <c r="AB26" i="3" s="1"/>
  <c r="AC26" i="3" s="1"/>
  <c r="AL26" i="3"/>
  <c r="AD26" i="3"/>
  <c r="AE26" i="3" s="1"/>
  <c r="AC6" i="4"/>
  <c r="AB24" i="4"/>
  <c r="AA21" i="3"/>
  <c r="AB21" i="3" s="1"/>
  <c r="AC21" i="3" s="1"/>
  <c r="X21" i="3"/>
  <c r="Y21" i="3" s="1"/>
  <c r="Z21" i="3"/>
  <c r="S21" i="3"/>
  <c r="AL21" i="3"/>
  <c r="N22" i="5"/>
  <c r="R22" i="5"/>
  <c r="S22" i="5" s="1"/>
  <c r="Q22" i="5"/>
  <c r="P22" i="5"/>
  <c r="O22" i="5"/>
  <c r="X22" i="5"/>
  <c r="W22" i="5"/>
  <c r="T22" i="5"/>
  <c r="AG21" i="4"/>
  <c r="P21" i="4"/>
  <c r="O21" i="4"/>
  <c r="W21" i="4"/>
  <c r="V21" i="4"/>
  <c r="R21" i="4"/>
  <c r="S21" i="4"/>
  <c r="Q21" i="4"/>
  <c r="AF21" i="4" s="1"/>
  <c r="AB14" i="4"/>
  <c r="AE14" i="4"/>
  <c r="AG34" i="4"/>
  <c r="S34" i="4"/>
  <c r="W34" i="4"/>
  <c r="V34" i="4"/>
  <c r="P34" i="4"/>
  <c r="O34" i="4"/>
  <c r="Q34" i="4"/>
  <c r="AF34" i="4" s="1"/>
  <c r="R34" i="4"/>
  <c r="P23" i="4"/>
  <c r="O23" i="4"/>
  <c r="AG23" i="4"/>
  <c r="S23" i="4"/>
  <c r="Q23" i="4"/>
  <c r="AF23" i="4" s="1"/>
  <c r="R23" i="4"/>
  <c r="V23" i="4"/>
  <c r="W23" i="4"/>
  <c r="S18" i="3"/>
  <c r="X18" i="3"/>
  <c r="Y18" i="3" s="1"/>
  <c r="AL18" i="3"/>
  <c r="AA18" i="3"/>
  <c r="AB18" i="3" s="1"/>
  <c r="AC18" i="3" s="1"/>
  <c r="Z18" i="3"/>
  <c r="X23" i="5"/>
  <c r="W23" i="5"/>
  <c r="T23" i="5"/>
  <c r="R23" i="5"/>
  <c r="S23" i="5" s="1"/>
  <c r="Q23" i="5"/>
  <c r="P23" i="5"/>
  <c r="O23" i="5"/>
  <c r="N23" i="5"/>
  <c r="X6" i="4"/>
  <c r="Y6" i="4"/>
  <c r="AA23" i="3"/>
  <c r="AB23" i="3" s="1"/>
  <c r="AC23" i="3" s="1"/>
  <c r="Z23" i="3"/>
  <c r="S23" i="3"/>
  <c r="X23" i="3"/>
  <c r="Y23" i="3" s="1"/>
  <c r="AL23" i="3"/>
  <c r="S33" i="3"/>
  <c r="AL33" i="3"/>
  <c r="Z33" i="3"/>
  <c r="AA33" i="3"/>
  <c r="AB33" i="3" s="1"/>
  <c r="AC33" i="3" s="1"/>
  <c r="X33" i="3"/>
  <c r="Y33" i="3" s="1"/>
  <c r="Q7" i="5"/>
  <c r="P7" i="5"/>
  <c r="O7" i="5"/>
  <c r="N7" i="5"/>
  <c r="W7" i="5"/>
  <c r="X7" i="5"/>
  <c r="R7" i="5"/>
  <c r="S7" i="5" s="1"/>
  <c r="T7" i="5"/>
  <c r="AD24" i="4" l="1"/>
  <c r="U33" i="5"/>
  <c r="S33" i="5"/>
  <c r="AK35" i="3"/>
  <c r="AH35" i="3"/>
  <c r="AE43" i="3"/>
  <c r="V5" i="5"/>
  <c r="S5" i="5"/>
  <c r="X28" i="4"/>
  <c r="AA28" i="4" s="1"/>
  <c r="AA6" i="4"/>
  <c r="AA27" i="4"/>
  <c r="AI35" i="3"/>
  <c r="X24" i="4"/>
  <c r="Y24" i="4"/>
  <c r="Z24" i="4" s="1"/>
  <c r="AA24" i="4"/>
  <c r="AI31" i="3"/>
  <c r="AA14" i="4"/>
  <c r="AD13" i="3"/>
  <c r="AF31" i="3"/>
  <c r="AH31" i="3"/>
  <c r="V32" i="5"/>
  <c r="AD33" i="3"/>
  <c r="AG35" i="3"/>
  <c r="AF35" i="3"/>
  <c r="U26" i="5"/>
  <c r="AJ31" i="3"/>
  <c r="AE5" i="3"/>
  <c r="AJ5" i="3" s="1"/>
  <c r="AE13" i="3"/>
  <c r="AF13" i="3" s="1"/>
  <c r="U18" i="5"/>
  <c r="AE33" i="3"/>
  <c r="AJ33" i="3" s="1"/>
  <c r="AD43" i="3"/>
  <c r="AC14" i="4"/>
  <c r="AD12" i="3"/>
  <c r="AE12" i="3" s="1"/>
  <c r="U5" i="5"/>
  <c r="AD40" i="3"/>
  <c r="AE40" i="3" s="1"/>
  <c r="AJ40" i="3" s="1"/>
  <c r="AD37" i="3"/>
  <c r="AE37" i="3" s="1"/>
  <c r="AK31" i="3"/>
  <c r="AE17" i="3"/>
  <c r="AK29" i="3"/>
  <c r="AJ29" i="3"/>
  <c r="AI29" i="3"/>
  <c r="AG29" i="3"/>
  <c r="AF29" i="3"/>
  <c r="AH29" i="3"/>
  <c r="AC36" i="3"/>
  <c r="AD36" i="3"/>
  <c r="AE36" i="3" s="1"/>
  <c r="AD38" i="3"/>
  <c r="AE38" i="3" s="1"/>
  <c r="AH38" i="3" s="1"/>
  <c r="AE8" i="3"/>
  <c r="AG17" i="3"/>
  <c r="AF17" i="3"/>
  <c r="AH17" i="3"/>
  <c r="AI17" i="3"/>
  <c r="AK17" i="3"/>
  <c r="AJ17" i="3"/>
  <c r="AK20" i="3"/>
  <c r="AJ20" i="3"/>
  <c r="AH20" i="3"/>
  <c r="AI20" i="3"/>
  <c r="AG20" i="3"/>
  <c r="AF20" i="3"/>
  <c r="AK26" i="3"/>
  <c r="AJ26" i="3"/>
  <c r="AH26" i="3"/>
  <c r="AG26" i="3"/>
  <c r="AF26" i="3"/>
  <c r="AI26" i="3"/>
  <c r="AI24" i="3"/>
  <c r="AJ24" i="3"/>
  <c r="AK24" i="3"/>
  <c r="AH24" i="3"/>
  <c r="AG24" i="3"/>
  <c r="AF24" i="3"/>
  <c r="AK6" i="3"/>
  <c r="AJ6" i="3"/>
  <c r="AI6" i="3"/>
  <c r="AG6" i="3"/>
  <c r="AH6" i="3"/>
  <c r="AF6" i="3"/>
  <c r="AK38" i="3"/>
  <c r="AG38" i="3"/>
  <c r="AB5" i="4"/>
  <c r="AE5" i="4"/>
  <c r="AD5" i="4"/>
  <c r="AC5" i="4"/>
  <c r="Z14" i="4"/>
  <c r="AD14" i="3"/>
  <c r="AE14" i="3" s="1"/>
  <c r="U29" i="5"/>
  <c r="Z28" i="4"/>
  <c r="AD34" i="4"/>
  <c r="AC34" i="4"/>
  <c r="AB34" i="4"/>
  <c r="AE34" i="4"/>
  <c r="Y15" i="4"/>
  <c r="X15" i="4"/>
  <c r="V29" i="5"/>
  <c r="V21" i="5"/>
  <c r="AD21" i="3"/>
  <c r="AE21" i="3" s="1"/>
  <c r="AE15" i="4"/>
  <c r="AD15" i="4"/>
  <c r="AC15" i="4"/>
  <c r="AB15" i="4"/>
  <c r="AE32" i="4"/>
  <c r="AD32" i="4"/>
  <c r="AC32" i="4"/>
  <c r="AB32" i="4"/>
  <c r="Y8" i="4"/>
  <c r="X8" i="4"/>
  <c r="U7" i="5"/>
  <c r="AD41" i="3"/>
  <c r="AE41" i="3" s="1"/>
  <c r="U14" i="5"/>
  <c r="Y10" i="4"/>
  <c r="Z10" i="4" s="1"/>
  <c r="X10" i="4"/>
  <c r="Z16" i="4"/>
  <c r="AE10" i="4"/>
  <c r="AB10" i="4"/>
  <c r="AD10" i="4"/>
  <c r="AC10" i="4"/>
  <c r="AD27" i="3"/>
  <c r="AE27" i="3" s="1"/>
  <c r="B85" i="10"/>
  <c r="B76" i="10"/>
  <c r="B77" i="10"/>
  <c r="AD22" i="3"/>
  <c r="AE22" i="3" s="1"/>
  <c r="Y17" i="4"/>
  <c r="X17" i="4"/>
  <c r="U30" i="5"/>
  <c r="U6" i="5"/>
  <c r="V23" i="5"/>
  <c r="AE19" i="4"/>
  <c r="AD19" i="4"/>
  <c r="AB19" i="4"/>
  <c r="AC19" i="4"/>
  <c r="V14" i="5"/>
  <c r="U8" i="5"/>
  <c r="Y21" i="4"/>
  <c r="X21" i="4"/>
  <c r="AB21" i="4"/>
  <c r="AE21" i="4"/>
  <c r="AC21" i="4"/>
  <c r="AD21" i="4"/>
  <c r="AD28" i="3"/>
  <c r="AE28" i="3" s="1"/>
  <c r="AE17" i="4"/>
  <c r="AD17" i="4"/>
  <c r="AB17" i="4"/>
  <c r="AC17" i="4"/>
  <c r="V30" i="5"/>
  <c r="V6" i="5"/>
  <c r="AC30" i="4"/>
  <c r="AB30" i="4"/>
  <c r="AE30" i="4"/>
  <c r="AD30" i="4"/>
  <c r="AD23" i="3"/>
  <c r="AE23" i="3" s="1"/>
  <c r="Y22" i="4"/>
  <c r="Z22" i="4" s="1"/>
  <c r="X22" i="4"/>
  <c r="Y5" i="4"/>
  <c r="X5" i="4"/>
  <c r="Z5" i="4"/>
  <c r="U20" i="5"/>
  <c r="Y34" i="4"/>
  <c r="Z34" i="4" s="1"/>
  <c r="X34" i="4"/>
  <c r="U21" i="5"/>
  <c r="X30" i="4"/>
  <c r="Y30" i="4"/>
  <c r="Z30" i="4" s="1"/>
  <c r="AA30" i="4"/>
  <c r="AD11" i="3"/>
  <c r="AE11" i="3" s="1"/>
  <c r="AD19" i="3"/>
  <c r="AE19" i="3" s="1"/>
  <c r="U23" i="5"/>
  <c r="Y32" i="4"/>
  <c r="Z32" i="4" s="1"/>
  <c r="X32" i="4"/>
  <c r="AA32" i="4"/>
  <c r="AD16" i="3"/>
  <c r="AE16" i="3" s="1"/>
  <c r="AD9" i="3"/>
  <c r="AE9" i="3" s="1"/>
  <c r="AD18" i="3"/>
  <c r="AE18" i="3" s="1"/>
  <c r="AD39" i="3"/>
  <c r="AE39" i="3" s="1"/>
  <c r="Y25" i="4"/>
  <c r="Z25" i="4" s="1"/>
  <c r="X25" i="4"/>
  <c r="AA25" i="4"/>
  <c r="AD25" i="3"/>
  <c r="AE25" i="3" s="1"/>
  <c r="AE25" i="4"/>
  <c r="AC25" i="4"/>
  <c r="AB25" i="4"/>
  <c r="AD25" i="4"/>
  <c r="AD30" i="3"/>
  <c r="AE30" i="3" s="1"/>
  <c r="V18" i="5"/>
  <c r="AH15" i="3"/>
  <c r="AG15" i="3"/>
  <c r="AF15" i="3"/>
  <c r="AK15" i="3"/>
  <c r="AI15" i="3"/>
  <c r="AJ15" i="3"/>
  <c r="X19" i="4"/>
  <c r="Y19" i="4"/>
  <c r="AA19" i="4" s="1"/>
  <c r="Z19" i="4"/>
  <c r="AI7" i="3"/>
  <c r="AH7" i="3"/>
  <c r="AG7" i="3"/>
  <c r="AF7" i="3"/>
  <c r="AJ7" i="3"/>
  <c r="AK7" i="3"/>
  <c r="V8" i="5"/>
  <c r="AD34" i="3"/>
  <c r="AE34" i="3" s="1"/>
  <c r="AE20" i="4"/>
  <c r="AD20" i="4"/>
  <c r="AC20" i="4"/>
  <c r="AB20" i="4"/>
  <c r="U32" i="5"/>
  <c r="U27" i="5"/>
  <c r="U28" i="5"/>
  <c r="AE31" i="4"/>
  <c r="AD31" i="4"/>
  <c r="AC31" i="4"/>
  <c r="AB31" i="4"/>
  <c r="AC8" i="4"/>
  <c r="AB8" i="4"/>
  <c r="AD8" i="4"/>
  <c r="AE8" i="4"/>
  <c r="Z6" i="4"/>
  <c r="Y18" i="4"/>
  <c r="AA18" i="4" s="1"/>
  <c r="X18" i="4"/>
  <c r="AD18" i="4"/>
  <c r="AC18" i="4"/>
  <c r="AB18" i="4"/>
  <c r="AE18" i="4"/>
  <c r="Y26" i="4"/>
  <c r="X26" i="4"/>
  <c r="V7" i="5"/>
  <c r="AB26" i="4"/>
  <c r="AE26" i="4"/>
  <c r="AD26" i="4"/>
  <c r="AC26" i="4"/>
  <c r="U22" i="5"/>
  <c r="V22" i="5"/>
  <c r="Z27" i="4"/>
  <c r="AD32" i="3"/>
  <c r="AE32" i="3" s="1"/>
  <c r="U13" i="5"/>
  <c r="V27" i="5"/>
  <c r="V13" i="5"/>
  <c r="Y9" i="4"/>
  <c r="X9" i="4"/>
  <c r="Y7" i="4"/>
  <c r="X7" i="4"/>
  <c r="AD23" i="4"/>
  <c r="AE23" i="4"/>
  <c r="AB23" i="4"/>
  <c r="AC23" i="4"/>
  <c r="X20" i="4"/>
  <c r="Y20" i="4"/>
  <c r="Z20" i="4" s="1"/>
  <c r="X11" i="4"/>
  <c r="Y11" i="4"/>
  <c r="Z11" i="4" s="1"/>
  <c r="X33" i="4"/>
  <c r="Y33" i="4"/>
  <c r="AA33" i="4" s="1"/>
  <c r="AD11" i="4"/>
  <c r="AE11" i="4"/>
  <c r="AC11" i="4"/>
  <c r="AB11" i="4"/>
  <c r="AE33" i="4"/>
  <c r="AD33" i="4"/>
  <c r="AC33" i="4"/>
  <c r="AB33" i="4"/>
  <c r="AD22" i="4"/>
  <c r="AE22" i="4"/>
  <c r="AC22" i="4"/>
  <c r="AB22" i="4"/>
  <c r="AC9" i="4"/>
  <c r="AE9" i="4"/>
  <c r="AD9" i="4"/>
  <c r="AB9" i="4"/>
  <c r="AE7" i="4"/>
  <c r="AD7" i="4"/>
  <c r="AC7" i="4"/>
  <c r="AB7" i="4"/>
  <c r="U24" i="5"/>
  <c r="X23" i="4"/>
  <c r="Y23" i="4"/>
  <c r="AA23" i="4" s="1"/>
  <c r="V28" i="5"/>
  <c r="AD42" i="3"/>
  <c r="AE42" i="3" s="1"/>
  <c r="U31" i="5"/>
  <c r="Y31" i="4"/>
  <c r="Z31" i="4"/>
  <c r="X31" i="4"/>
  <c r="AI37" i="3" l="1"/>
  <c r="AG37" i="3"/>
  <c r="AK37" i="3"/>
  <c r="AJ37" i="3"/>
  <c r="AF37" i="3"/>
  <c r="AH37" i="3"/>
  <c r="AJ12" i="3"/>
  <c r="AG12" i="3"/>
  <c r="AF12" i="3"/>
  <c r="AK12" i="3"/>
  <c r="AI12" i="3"/>
  <c r="AH12" i="3"/>
  <c r="AJ36" i="3"/>
  <c r="AH36" i="3"/>
  <c r="AK36" i="3"/>
  <c r="AI36" i="3"/>
  <c r="AF36" i="3"/>
  <c r="AG36" i="3"/>
  <c r="AA17" i="4"/>
  <c r="AH8" i="3"/>
  <c r="AG8" i="3"/>
  <c r="AF8" i="3"/>
  <c r="AK8" i="3"/>
  <c r="AI8" i="3"/>
  <c r="AJ8" i="3"/>
  <c r="AG5" i="3"/>
  <c r="AA7" i="4"/>
  <c r="AH5" i="3"/>
  <c r="AF5" i="3"/>
  <c r="AK13" i="3"/>
  <c r="AA26" i="4"/>
  <c r="AI5" i="3"/>
  <c r="AK5" i="3"/>
  <c r="AA15" i="4"/>
  <c r="AA9" i="4"/>
  <c r="AI40" i="3"/>
  <c r="AG13" i="3"/>
  <c r="AH13" i="3"/>
  <c r="AH33" i="3"/>
  <c r="Z18" i="4"/>
  <c r="AF38" i="3"/>
  <c r="AI33" i="3"/>
  <c r="AK40" i="3"/>
  <c r="AG40" i="3"/>
  <c r="AI13" i="3"/>
  <c r="AA8" i="4"/>
  <c r="AA21" i="4"/>
  <c r="AI38" i="3"/>
  <c r="AF33" i="3"/>
  <c r="AA11" i="4"/>
  <c r="AJ38" i="3"/>
  <c r="AK33" i="3"/>
  <c r="AA5" i="4"/>
  <c r="AF40" i="3"/>
  <c r="AH40" i="3"/>
  <c r="AJ13" i="3"/>
  <c r="AG33" i="3"/>
  <c r="AA31" i="4"/>
  <c r="AI43" i="3"/>
  <c r="AH43" i="3"/>
  <c r="AF43" i="3"/>
  <c r="AJ43" i="3"/>
  <c r="AG43" i="3"/>
  <c r="AK43" i="3"/>
  <c r="AI22" i="3"/>
  <c r="AJ22" i="3"/>
  <c r="AH22" i="3"/>
  <c r="AG22" i="3"/>
  <c r="AF22" i="3"/>
  <c r="AK22" i="3"/>
  <c r="AK39" i="3"/>
  <c r="AJ39" i="3"/>
  <c r="AG39" i="3"/>
  <c r="AF39" i="3"/>
  <c r="AI39" i="3"/>
  <c r="AH39" i="3"/>
  <c r="AJ11" i="3"/>
  <c r="AI11" i="3"/>
  <c r="AH11" i="3"/>
  <c r="AG11" i="3"/>
  <c r="AF11" i="3"/>
  <c r="AK11" i="3"/>
  <c r="AG25" i="3"/>
  <c r="AF25" i="3"/>
  <c r="AK25" i="3"/>
  <c r="AI25" i="3"/>
  <c r="AH25" i="3"/>
  <c r="AJ25" i="3"/>
  <c r="AH9" i="3"/>
  <c r="AG9" i="3"/>
  <c r="AK9" i="3"/>
  <c r="AF9" i="3"/>
  <c r="AJ9" i="3"/>
  <c r="AI9" i="3"/>
  <c r="AI42" i="3"/>
  <c r="AJ42" i="3"/>
  <c r="AH42" i="3"/>
  <c r="AK42" i="3"/>
  <c r="AG42" i="3"/>
  <c r="AF42" i="3"/>
  <c r="AI30" i="3"/>
  <c r="AK30" i="3"/>
  <c r="AJ30" i="3"/>
  <c r="AG30" i="3"/>
  <c r="AF30" i="3"/>
  <c r="AH30" i="3"/>
  <c r="Z9" i="4"/>
  <c r="AA34" i="4"/>
  <c r="Z8" i="4"/>
  <c r="B33" i="10"/>
  <c r="AI32" i="3"/>
  <c r="AH32" i="3"/>
  <c r="AJ32" i="3"/>
  <c r="AK32" i="3"/>
  <c r="AF32" i="3"/>
  <c r="AG32" i="3"/>
  <c r="B44" i="10"/>
  <c r="B42" i="8" s="1"/>
  <c r="AG18" i="3"/>
  <c r="AF18" i="3"/>
  <c r="AK18" i="3"/>
  <c r="AI18" i="3"/>
  <c r="AJ18" i="3"/>
  <c r="AH18" i="3"/>
  <c r="AA22" i="4"/>
  <c r="Z17" i="4"/>
  <c r="AH21" i="3"/>
  <c r="AG21" i="3"/>
  <c r="AF21" i="3"/>
  <c r="AK21" i="3"/>
  <c r="AJ21" i="3"/>
  <c r="AI21" i="3"/>
  <c r="AH34" i="3"/>
  <c r="AG34" i="3"/>
  <c r="AK34" i="3"/>
  <c r="AJ34" i="3"/>
  <c r="AI34" i="3"/>
  <c r="AF34" i="3"/>
  <c r="AK16" i="3"/>
  <c r="AJ16" i="3"/>
  <c r="AI16" i="3"/>
  <c r="AH16" i="3"/>
  <c r="AG16" i="3"/>
  <c r="AF16" i="3"/>
  <c r="AJ23" i="3"/>
  <c r="AI23" i="3"/>
  <c r="AH23" i="3"/>
  <c r="AG23" i="3"/>
  <c r="AF23" i="3"/>
  <c r="AK23" i="3"/>
  <c r="AF27" i="3"/>
  <c r="AI27" i="3"/>
  <c r="AH27" i="3"/>
  <c r="AG27" i="3"/>
  <c r="AJ27" i="3"/>
  <c r="AK27" i="3"/>
  <c r="Z33" i="4"/>
  <c r="B92" i="10"/>
  <c r="B90" i="10"/>
  <c r="B91" i="10"/>
  <c r="B13" i="7"/>
  <c r="G36" i="7"/>
  <c r="E12" i="7"/>
  <c r="E18" i="8"/>
  <c r="E34" i="7"/>
  <c r="B93" i="10"/>
  <c r="D18" i="8"/>
  <c r="D34" i="7"/>
  <c r="C34" i="7"/>
  <c r="B18" i="8"/>
  <c r="B34" i="7"/>
  <c r="E17" i="8"/>
  <c r="D17" i="8"/>
  <c r="C36" i="7"/>
  <c r="B6" i="7"/>
  <c r="B36" i="7"/>
  <c r="G35" i="7"/>
  <c r="D35" i="7"/>
  <c r="B35" i="7"/>
  <c r="C35" i="7"/>
  <c r="F35" i="7"/>
  <c r="E35" i="7"/>
  <c r="F36" i="7"/>
  <c r="G34" i="7"/>
  <c r="F34" i="7"/>
  <c r="D11" i="7"/>
  <c r="B101" i="10"/>
  <c r="B100" i="10"/>
  <c r="B11" i="7"/>
  <c r="E10" i="7"/>
  <c r="B98" i="10"/>
  <c r="D10" i="7"/>
  <c r="D19" i="8"/>
  <c r="B17" i="8"/>
  <c r="E36" i="7"/>
  <c r="B19" i="8"/>
  <c r="B13" i="8"/>
  <c r="D36" i="7"/>
  <c r="B10" i="7"/>
  <c r="E11" i="7"/>
  <c r="D12" i="7"/>
  <c r="E19" i="8"/>
  <c r="B12" i="7"/>
  <c r="B20" i="8"/>
  <c r="D13" i="7"/>
  <c r="B5" i="7"/>
  <c r="D20" i="8"/>
  <c r="B12" i="8"/>
  <c r="Z15" i="4"/>
  <c r="B45" i="10"/>
  <c r="A7" i="7"/>
  <c r="A14" i="8"/>
  <c r="Z26" i="4"/>
  <c r="AK19" i="3"/>
  <c r="AI19" i="3"/>
  <c r="AG19" i="3"/>
  <c r="AH19" i="3"/>
  <c r="AJ19" i="3"/>
  <c r="AF19" i="3"/>
  <c r="Z23" i="4"/>
  <c r="AA20" i="4"/>
  <c r="AK28" i="3"/>
  <c r="AJ28" i="3"/>
  <c r="AH28" i="3"/>
  <c r="AI28" i="3"/>
  <c r="AG28" i="3"/>
  <c r="AF28" i="3"/>
  <c r="AK14" i="3"/>
  <c r="AJ14" i="3"/>
  <c r="AH14" i="3"/>
  <c r="AI14" i="3"/>
  <c r="AG14" i="3"/>
  <c r="AF14" i="3"/>
  <c r="AA10" i="4"/>
  <c r="B42" i="10"/>
  <c r="AH41" i="3"/>
  <c r="AG41" i="3"/>
  <c r="AK41" i="3"/>
  <c r="AJ41" i="3"/>
  <c r="AI41" i="3"/>
  <c r="AF41" i="3"/>
  <c r="Z7" i="4"/>
  <c r="Z21" i="4"/>
  <c r="B21" i="10" l="1"/>
  <c r="B22" i="10" s="1"/>
  <c r="B20" i="10"/>
  <c r="B99" i="10"/>
  <c r="A28" i="7" s="1"/>
  <c r="B32" i="10"/>
  <c r="B41" i="8" s="1"/>
  <c r="B23" i="10"/>
  <c r="B40" i="8"/>
  <c r="A35" i="8"/>
  <c r="B23" i="8"/>
  <c r="B16" i="7"/>
  <c r="A29" i="7"/>
  <c r="A36" i="8"/>
  <c r="A34" i="8"/>
  <c r="A27" i="7"/>
  <c r="A30" i="7"/>
  <c r="A37" i="8"/>
  <c r="B22" i="8"/>
  <c r="B15" i="7"/>
  <c r="B46" i="10"/>
  <c r="B47" i="10" s="1"/>
  <c r="A27" i="8"/>
  <c r="A20" i="7"/>
  <c r="B35" i="10"/>
  <c r="B34" i="10"/>
  <c r="B36" i="10" s="1"/>
  <c r="B25" i="10" l="1"/>
  <c r="B26" i="10" l="1"/>
  <c r="B94" i="10"/>
  <c r="B86" i="10"/>
  <c r="B27" i="10"/>
  <c r="B28" i="10" l="1"/>
  <c r="B29" i="10" s="1"/>
  <c r="A28" i="8"/>
  <c r="A21" i="7"/>
  <c r="B37" i="10"/>
  <c r="B64" i="10" l="1"/>
  <c r="B54" i="10"/>
  <c r="B87" i="10"/>
  <c r="B39" i="10"/>
  <c r="B38" i="10"/>
  <c r="B48" i="10" s="1"/>
  <c r="B79" i="10"/>
  <c r="B40" i="10" l="1"/>
  <c r="B41" i="10" s="1"/>
  <c r="B95" i="10"/>
  <c r="B83" i="10"/>
  <c r="B49" i="10"/>
  <c r="B68" i="10" s="1"/>
  <c r="B88" i="10"/>
  <c r="B84" i="10" l="1"/>
  <c r="A29" i="8"/>
  <c r="A22" i="7"/>
  <c r="A26" i="8"/>
  <c r="A19" i="7"/>
  <c r="B65" i="10"/>
  <c r="B55" i="10"/>
  <c r="B80" i="10"/>
  <c r="B89" i="10" s="1"/>
  <c r="B50" i="10"/>
  <c r="B51" i="10" s="1"/>
  <c r="B81" i="10"/>
  <c r="B96" i="10"/>
  <c r="A30" i="8" l="1"/>
  <c r="A23" i="7"/>
  <c r="B56" i="10"/>
  <c r="B66" i="10"/>
  <c r="B70" i="10" s="1"/>
  <c r="B53" i="10"/>
  <c r="B57" i="10" l="1"/>
  <c r="B69" i="10"/>
  <c r="B72" i="10" s="1"/>
  <c r="B73" i="10"/>
  <c r="B78" i="10"/>
  <c r="B97" i="10" s="1"/>
  <c r="A33" i="8" l="1"/>
  <c r="A26" i="7"/>
  <c r="B58" i="10"/>
  <c r="B60" i="10"/>
  <c r="B59" i="10"/>
  <c r="B62" i="10" s="1"/>
  <c r="B63" i="10" l="1"/>
  <c r="B61" i="10"/>
</calcChain>
</file>

<file path=xl/sharedStrings.xml><?xml version="1.0" encoding="utf-8"?>
<sst xmlns="http://schemas.openxmlformats.org/spreadsheetml/2006/main" count="1085" uniqueCount="596">
  <si>
    <t>Faculty Research Evaluation Calculator</t>
  </si>
  <si>
    <t>A decision aid for the annual review of research and scholarship. It informs the chair's written evaluation; it does not replace it.</t>
  </si>
  <si>
    <t>How to use it</t>
  </si>
  <si>
    <t>1.</t>
  </si>
  <si>
    <t>Faculty sheet: enter the faculty member, the evaluation year, the assigned research effort and the months active.</t>
  </si>
  <si>
    <t>2.</t>
  </si>
  <si>
    <t>Publications, Grants and Presentations sheets: one row per item. Pick from the dropdown lists in the yellow cells.</t>
  </si>
  <si>
    <t>3.</t>
  </si>
  <si>
    <t>Other sheet: editorial service, grant review panels, counts for the year and, if needed, the three-year rolling window.</t>
  </si>
  <si>
    <t>4.</t>
  </si>
  <si>
    <t>Dashboard sheet: the score, the classification and how each point was earned. It updates as you type.</t>
  </si>
  <si>
    <t>5.</t>
  </si>
  <si>
    <t>Report sheet: a one-page summary. Use File &gt; Print, or File &gt; Save As &gt; PDF.</t>
  </si>
  <si>
    <t>Reading the colours</t>
  </si>
  <si>
    <t>Yellow</t>
  </si>
  <si>
    <t>Cells you fill in.</t>
  </si>
  <si>
    <t>Grey</t>
  </si>
  <si>
    <t>Calculated cells. They are locked.</t>
  </si>
  <si>
    <t>Green / amber / red</t>
  </si>
  <si>
    <t>On the Dashboard: a minimum met or exceeded; approaching; not met.</t>
  </si>
  <si>
    <t>If a row is not counted</t>
  </si>
  <si>
    <t>Look at the grey 'Check this row' column beside it. It says what is missing, and the Dashboard shows 'Incomplete' until every started row is finished.</t>
  </si>
  <si>
    <t>How the score works</t>
  </si>
  <si>
    <t>Three domains: publications, grants and contracts, and presentations. Each has a minimum expectation. Meeting it earns a fixed share of the domain's points; work above the minimum earns the rest.</t>
  </si>
  <si>
    <t>Any unmet minimum gives Does Not Meet Expectations. With every minimum met the result is Meets Expectations, or Exceeds Expectations under the rule on the Settings sheet.</t>
  </si>
  <si>
    <t>Journal tiers</t>
  </si>
  <si>
    <t>Tier 1</t>
  </si>
  <si>
    <t>Top quartile (Q1) of its subject category, or the flagship journal of a major society in the field.</t>
  </si>
  <si>
    <t>Tier 2</t>
  </si>
  <si>
    <t>Second quartile (Q2).</t>
  </si>
  <si>
    <t>Tier 3</t>
  </si>
  <si>
    <t>Any other peer-reviewed journal indexed in MEDLINE, Scopus or Web of Science.</t>
  </si>
  <si>
    <t>Questionable</t>
  </si>
  <si>
    <t>No verifiable peer review. Earns nothing and does not count toward the minimum.</t>
  </si>
  <si>
    <t>Venue tiers</t>
  </si>
  <si>
    <t>Tier A</t>
  </si>
  <si>
    <t>Major national or international society meeting with competitive peer-reviewed abstract selection.</t>
  </si>
  <si>
    <t>Tier B</t>
  </si>
  <si>
    <t>Regional or state society meeting, or a national meeting with light review.</t>
  </si>
  <si>
    <t>Tier C</t>
  </si>
  <si>
    <t>Local meeting, or limited review.</t>
  </si>
  <si>
    <t>The scoring policy</t>
  </si>
  <si>
    <t>Every threshold and criterion is on the Settings sheet. It belongs to the annual review committee and is protected. The values shipped are provisional and are documented in PROVISIONAL_POLICY.md.</t>
  </si>
  <si>
    <t>The Dashboard states whether the settings still match the shipped policy.</t>
  </si>
  <si>
    <t>Limits</t>
  </si>
  <si>
    <t>Up to 40 publications, 30 grants and 30 presentations per faculty member.</t>
  </si>
  <si>
    <t>One workbook holds one faculty member for one year. Save a copy per person.</t>
  </si>
  <si>
    <t>Scores round half up. The original Phase 1 rounding rule is available only in the web application.</t>
  </si>
  <si>
    <t>Faculty information</t>
  </si>
  <si>
    <t>Yellow cells are for entry.</t>
  </si>
  <si>
    <t>Faculty member name</t>
  </si>
  <si>
    <t>Faculty ID</t>
  </si>
  <si>
    <t>Academic rank</t>
  </si>
  <si>
    <t>Department</t>
  </si>
  <si>
    <t>Appointment type</t>
  </si>
  <si>
    <t>Evaluation year</t>
  </si>
  <si>
    <t>Research assignment and adjustments</t>
  </si>
  <si>
    <t>Assigned research effort (%)</t>
  </si>
  <si>
    <t>Months active in the evaluation period</t>
  </si>
  <si>
    <t>First-year faculty member</t>
  </si>
  <si>
    <t>Publications and scholarly outputs</t>
  </si>
  <si>
    <t>One row per item first published in the evaluation year. An item counts once.</t>
  </si>
  <si>
    <t>Yellow cells are for entry. Grey columns to the right are calculated; a message in 'Check this row' means the row is not counted until it is completed.</t>
  </si>
  <si>
    <t>Calculated (do not edit)</t>
  </si>
  <si>
    <t>Title</t>
  </si>
  <si>
    <t>Journal or publisher</t>
  </si>
  <si>
    <t>Type</t>
  </si>
  <si>
    <t>Peer reviewed</t>
  </si>
  <si>
    <t>Journal tier</t>
  </si>
  <si>
    <t>Authorship</t>
  </si>
  <si>
    <t>Student or mentee first author</t>
  </si>
  <si>
    <t>Documented impacts</t>
  </si>
  <si>
    <t>DOI</t>
  </si>
  <si>
    <t>Quartile (info)</t>
  </si>
  <si>
    <t>Impact factor (info)</t>
  </si>
  <si>
    <t>Credited in a prior year</t>
  </si>
  <si>
    <t>Row used</t>
  </si>
  <si>
    <t>Type code</t>
  </si>
  <si>
    <t>Check this row</t>
  </si>
  <si>
    <t>Counted row</t>
  </si>
  <si>
    <t>Prior year</t>
  </si>
  <si>
    <t>Tier</t>
  </si>
  <si>
    <t>Tier multiplier</t>
  </si>
  <si>
    <t>Role</t>
  </si>
  <si>
    <t>Role multiplier</t>
  </si>
  <si>
    <t>Scored as</t>
  </si>
  <si>
    <t>Other-output units</t>
  </si>
  <si>
    <t>Stand-alone units</t>
  </si>
  <si>
    <t>DOI as typed</t>
  </si>
  <si>
    <t>DOI compared</t>
  </si>
  <si>
    <t>Copy kept</t>
  </si>
  <si>
    <t>Duplicate</t>
  </si>
  <si>
    <t>Credited</t>
  </si>
  <si>
    <t>Article and book units</t>
  </si>
  <si>
    <t>Chapter units</t>
  </si>
  <si>
    <t>Other units</t>
  </si>
  <si>
    <t>Chapter</t>
  </si>
  <si>
    <t>Counts toward minimum</t>
  </si>
  <si>
    <t>Impact units</t>
  </si>
  <si>
    <t>Note</t>
  </si>
  <si>
    <t>Grants and contracts</t>
  </si>
  <si>
    <t>One row per proposal, award or continuing project. For a proposal submitted and funded in the same year, enter one row as 'Awarded this year' and answer Yes to 'Also submitted this year'.</t>
  </si>
  <si>
    <t>Funder</t>
  </si>
  <si>
    <t>Source</t>
  </si>
  <si>
    <t>Total amount ($)</t>
  </si>
  <si>
    <t>Competitive</t>
  </si>
  <si>
    <t>Status</t>
  </si>
  <si>
    <t>Also submitted this year</t>
  </si>
  <si>
    <t>Scored or discussed</t>
  </si>
  <si>
    <t>Role code</t>
  </si>
  <si>
    <t>Substantive role</t>
  </si>
  <si>
    <t>Award role meets minimum</t>
  </si>
  <si>
    <t>Size band</t>
  </si>
  <si>
    <t>Submission</t>
  </si>
  <si>
    <t>Award</t>
  </si>
  <si>
    <t>Submission meets minimum</t>
  </si>
  <si>
    <t>Credited as award only</t>
  </si>
  <si>
    <t>Submission units</t>
  </si>
  <si>
    <t>Submission below minimum</t>
  </si>
  <si>
    <t>Award units</t>
  </si>
  <si>
    <t>Award meets minimum</t>
  </si>
  <si>
    <t>Award below minimum</t>
  </si>
  <si>
    <t>Large competitive award as PI/MPI</t>
  </si>
  <si>
    <t>Active project credited</t>
  </si>
  <si>
    <t>Scientific presentations</t>
  </si>
  <si>
    <t>One row per presentation. Venue tier is not used for institutional, outreach or seminar talks.</t>
  </si>
  <si>
    <t>Meeting</t>
  </si>
  <si>
    <t>Location (info)</t>
  </si>
  <si>
    <t>Scope (info)</t>
  </si>
  <si>
    <t>Venue tier</t>
  </si>
  <si>
    <t>Peer-reviewed abstract (info)</t>
  </si>
  <si>
    <t>Local</t>
  </si>
  <si>
    <t>Base units</t>
  </si>
  <si>
    <t>Role meets minimum</t>
  </si>
  <si>
    <t>Venue code</t>
  </si>
  <si>
    <t>Venue multiplier</t>
  </si>
  <si>
    <t>Local units</t>
  </si>
  <si>
    <t>Conference units</t>
  </si>
  <si>
    <t>Meets minimum</t>
  </si>
  <si>
    <t>Partial activity</t>
  </si>
  <si>
    <t>Other scholarly activities</t>
  </si>
  <si>
    <t>Credited inside the three domains, with caps. Yellow cells are for entry.</t>
  </si>
  <si>
    <t>Editorial and peer-review role</t>
  </si>
  <si>
    <t>Count</t>
  </si>
  <si>
    <t>Units</t>
  </si>
  <si>
    <t>Grant review panel</t>
  </si>
  <si>
    <t>Counts for the year</t>
  </si>
  <si>
    <t>Conference sessions chaired or organised</t>
  </si>
  <si>
    <t>Grant proposals in development (documented)</t>
  </si>
  <si>
    <t>Unfunded research projects under way</t>
  </si>
  <si>
    <t>Manuscripts under review</t>
  </si>
  <si>
    <t>Conference abstracts submitted</t>
  </si>
  <si>
    <t>Three-year rolling window (used only when a minimum is unmet this year)</t>
  </si>
  <si>
    <t>Leave a cell blank when the figure is not provided. A 0 is treated as provided.</t>
  </si>
  <si>
    <t>Publications counted in the two prior years</t>
  </si>
  <si>
    <t>Prior two years with the grant minimum met (0-2)</t>
  </si>
  <si>
    <t>Qualifying presentations in the two prior years</t>
  </si>
  <si>
    <t>Recorded for the committee and the narrative (not scored)</t>
  </si>
  <si>
    <t>Research awards and recognition</t>
  </si>
  <si>
    <t>Research mentoring and dissertation supervision</t>
  </si>
  <si>
    <t>Community-engaged, translational and interdisciplinary work</t>
  </si>
  <si>
    <t>Evaluator notes</t>
  </si>
  <si>
    <t>Evaluation results</t>
  </si>
  <si>
    <t>Updates automatically as data are entered. Nothing on this sheet is typed.</t>
  </si>
  <si>
    <t>Research evaluation</t>
  </si>
  <si>
    <t>Overall research score (of 100)</t>
  </si>
  <si>
    <t>Research domain</t>
  </si>
  <si>
    <t>Points earned</t>
  </si>
  <si>
    <t>Maximum points</t>
  </si>
  <si>
    <t>Performance</t>
  </si>
  <si>
    <t>Minimum expectation</t>
  </si>
  <si>
    <t>Publications</t>
  </si>
  <si>
    <t>Presentations</t>
  </si>
  <si>
    <t>Overall research score</t>
  </si>
  <si>
    <t>Areas of strength</t>
  </si>
  <si>
    <t>Areas requiring improvement</t>
  </si>
  <si>
    <t>How the outcome was reached</t>
  </si>
  <si>
    <t>For committee attention</t>
  </si>
  <si>
    <t>How the points were earned</t>
  </si>
  <si>
    <t>Units earned</t>
  </si>
  <si>
    <t>Benchmark units</t>
  </si>
  <si>
    <t>Units for full excellence</t>
  </si>
  <si>
    <t>Points at the minimum</t>
  </si>
  <si>
    <t>Excellence points</t>
  </si>
  <si>
    <t>Share of maximum</t>
  </si>
  <si>
    <t>Scoring policy</t>
  </si>
  <si>
    <t>Decision aid only. The scoring policy is provisional until adopted by the annual review committee; the chair's written evaluation and the faculty narrative remain the record.</t>
  </si>
  <si>
    <t>Faculty Research Evaluation Report</t>
  </si>
  <si>
    <t>Faculty member</t>
  </si>
  <si>
    <t>Evaluation period</t>
  </si>
  <si>
    <t>Months active</t>
  </si>
  <si>
    <t>Activity summary</t>
  </si>
  <si>
    <t>Publication productivity</t>
  </si>
  <si>
    <t>Grant activity and awards</t>
  </si>
  <si>
    <t>Additional scholarly contributions</t>
  </si>
  <si>
    <t>Recorded for the committee (not scored)</t>
  </si>
  <si>
    <t>Awards and recognition</t>
  </si>
  <si>
    <t>Mentoring</t>
  </si>
  <si>
    <t>Community-engaged work</t>
  </si>
  <si>
    <t>Decision aid only. The chair's written evaluation and the faculty narrative remain the record.</t>
  </si>
  <si>
    <t>Evaluator signature: ______________________________</t>
  </si>
  <si>
    <t>Date: ______________</t>
  </si>
  <si>
    <t>Scoring policy settings</t>
  </si>
  <si>
    <t>Owned by the annual review committee. The sheet is protected: Review &gt; Unprotect Sheet (no password) to change a value. The Dashboard reports how many settings differ from the shipped policy.</t>
  </si>
  <si>
    <t>Policy name</t>
  </si>
  <si>
    <t>Provisional 2026 (pending committee approval)</t>
  </si>
  <si>
    <t>Approval note (who approved, and when)</t>
  </si>
  <si>
    <t>Provisional defaults; not approved</t>
  </si>
  <si>
    <t>Weights and classification</t>
  </si>
  <si>
    <t>Value</t>
  </si>
  <si>
    <t>Meaning of the value</t>
  </si>
  <si>
    <t>Publications: maximum points</t>
  </si>
  <si>
    <t>Grants and contracts: maximum points</t>
  </si>
  <si>
    <t>Presentations: maximum points</t>
  </si>
  <si>
    <t>Share of a domain's points earned by meeting its minimum (0-1)</t>
  </si>
  <si>
    <t>Meets Expectations threshold</t>
  </si>
  <si>
    <t>Meets also requires the score to reach the Meets threshold</t>
  </si>
  <si>
    <t>Yes</t>
  </si>
  <si>
    <t>Exceeds Expectations threshold</t>
  </si>
  <si>
    <t>Rule for Exceeds Expectations</t>
  </si>
  <si>
    <t>breadth_or_distinction</t>
  </si>
  <si>
    <t>total = Score at or above the Exceeds threshold; breadth = Score at or above the threshold AND two domains strong; total_or_distinction = Score at or above the threshold, OR a new large competitive award as PI/MPI; breadth_or_distinction = Threshold AND two domains strong, OR a new large competitive award as PI/MPI</t>
  </si>
  <si>
    <t>A domain is 'strong' at this share of its points (0-1)</t>
  </si>
  <si>
    <t>Floor score for the large-award route to Exceeds</t>
  </si>
  <si>
    <t>Flag as 'approaching' at this score when one minimum is unmet</t>
  </si>
  <si>
    <t>A domain shows 'Exceeds' at this share of its points (0-1)</t>
  </si>
  <si>
    <t>With a minimum unmet, flag a domain at this share of its points (0-1)</t>
  </si>
  <si>
    <t>Minimum expectations</t>
  </si>
  <si>
    <t>Peer-reviewed publications expected per year</t>
  </si>
  <si>
    <t>Grant minimum requires an external (not internal) submission</t>
  </si>
  <si>
    <t>No</t>
  </si>
  <si>
    <t>Adjustments for effort, leave and career stage</t>
  </si>
  <si>
    <t>Standard research assignment (%)</t>
  </si>
  <si>
    <t>Lowest adjustment factor</t>
  </si>
  <si>
    <t>Highest adjustment factor</t>
  </si>
  <si>
    <t>Rate faculty with 0% research effort or 0 active months</t>
  </si>
  <si>
    <t>Reduced assignment applies at or below this factor</t>
  </si>
  <si>
    <t>Treatment of a reduced assignment</t>
  </si>
  <si>
    <t>documented_activity</t>
  </si>
  <si>
    <t>waive_below_threshold = Waive grant and presentation minimums outright; documented_activity = Require documented activity in place of the full minimum</t>
  </si>
  <si>
    <t>Domains the three-year rolling window may rescue in one year</t>
  </si>
  <si>
    <t>Publication requirement over the rolling window</t>
  </si>
  <si>
    <t>standard_prior_years</t>
  </si>
  <si>
    <t>current_year = This year's (possibly prorated) minimum for all three years; standard_prior_years = This year's minimum plus the standard minimum for the two prior years</t>
  </si>
  <si>
    <t>Counting rules</t>
  </si>
  <si>
    <t>Count a publication once when the same DOI is entered twice</t>
  </si>
  <si>
    <t>Credit a proposal funded in the same year as an award only</t>
  </si>
  <si>
    <t>Exclude a publication marked as credited in a prior year</t>
  </si>
  <si>
    <t>Match DOIs and grant ids ignoring case, spaces and web-address prefixes</t>
  </si>
  <si>
    <t>Awards below this amount are 'minor' ($)</t>
  </si>
  <si>
    <t>Awards at or above this amount are 'large' ($)</t>
  </si>
  <si>
    <t>Rounding of displayed scores</t>
  </si>
  <si>
    <t>half_up</t>
  </si>
  <si>
    <t>Fixed in Excel: scores round half up. The Phase 1 'round half to even' rule is available only in the web app.</t>
  </si>
  <si>
    <t>Adjust a displayed domain score by 0.1 where needed so they add up</t>
  </si>
  <si>
    <t>Venue tier assumed when not yet verified</t>
  </si>
  <si>
    <t>C</t>
  </si>
  <si>
    <t>Presentation role assumed when missing</t>
  </si>
  <si>
    <t>coauthor</t>
  </si>
  <si>
    <t>Book author role assumed when missing</t>
  </si>
  <si>
    <t>Benchmarks, increments and caps (in units)</t>
  </si>
  <si>
    <t>Publications: benchmark units at the standard minimum</t>
  </si>
  <si>
    <t>Grants: benchmark units</t>
  </si>
  <si>
    <t>Presentations: benchmark units</t>
  </si>
  <si>
    <t>Publications: units above benchmark for full excellence credit</t>
  </si>
  <si>
    <t>Grants: units above benchmark for full excellence credit</t>
  </si>
  <si>
    <t>Presentations: units above benchmark for full excellence credit</t>
  </si>
  <si>
    <t>Increment when a student or mentee is first author</t>
  </si>
  <si>
    <t>Scholarly book (lead author)</t>
  </si>
  <si>
    <t>Book: multiplier for a non-lead author</t>
  </si>
  <si>
    <t>Book chapter</t>
  </si>
  <si>
    <t>Cap on book-chapter credit (blank = no cap)</t>
  </si>
  <si>
    <t>Cap on other scholarly outputs</t>
  </si>
  <si>
    <t>Cap on editorial and review service</t>
  </si>
  <si>
    <t>Each documented impact on policy or practice</t>
  </si>
  <si>
    <t>Cap on documented impacts</t>
  </si>
  <si>
    <t>Noncompetitive submission multiplier</t>
  </si>
  <si>
    <t>Noncompetitive award or contract multiplier</t>
  </si>
  <si>
    <t>Bonus for a scored or discussed proposal</t>
  </si>
  <si>
    <t>Cap on credit from submissions</t>
  </si>
  <si>
    <t>Each active funded project in a substantive role</t>
  </si>
  <si>
    <t>Cap on active-project credit</t>
  </si>
  <si>
    <t>Cap on grant-review credit</t>
  </si>
  <si>
    <t>Each proposal in development or unfunded project</t>
  </si>
  <si>
    <t>Cap on development credit</t>
  </si>
  <si>
    <t>Each session chaired or organised</t>
  </si>
  <si>
    <t>Cap on session-chair credit</t>
  </si>
  <si>
    <t>Cap on institutional, outreach and seminar presentations</t>
  </si>
  <si>
    <t>Number</t>
  </si>
  <si>
    <t>Multiplier</t>
  </si>
  <si>
    <t>Questionable venue (not credited)</t>
  </si>
  <si>
    <t>Author role multipliers</t>
  </si>
  <si>
    <t>lead</t>
  </si>
  <si>
    <t>second</t>
  </si>
  <si>
    <t>Authorship choices</t>
  </si>
  <si>
    <t>Choice on the entry sheet</t>
  </si>
  <si>
    <t>Sole or first author</t>
  </si>
  <si>
    <t>Senior (last) author</t>
  </si>
  <si>
    <t>Corresponding author</t>
  </si>
  <si>
    <t>Second author</t>
  </si>
  <si>
    <t>Other coauthor</t>
  </si>
  <si>
    <t>Publication types</t>
  </si>
  <si>
    <t>Code</t>
  </si>
  <si>
    <t>Journal article</t>
  </si>
  <si>
    <t>article</t>
  </si>
  <si>
    <t>Scholarly book</t>
  </si>
  <si>
    <t>book</t>
  </si>
  <si>
    <t>chapter</t>
  </si>
  <si>
    <t>Edited book</t>
  </si>
  <si>
    <t>edited_book</t>
  </si>
  <si>
    <t>Technical report</t>
  </si>
  <si>
    <t>technical_report</t>
  </si>
  <si>
    <t>Policy brief</t>
  </si>
  <si>
    <t>policy_brief</t>
  </si>
  <si>
    <t>Software or analytical tool</t>
  </si>
  <si>
    <t>software</t>
  </si>
  <si>
    <t>Research dataset</t>
  </si>
  <si>
    <t>dataset</t>
  </si>
  <si>
    <t>Editorial or commentary</t>
  </si>
  <si>
    <t>editorial</t>
  </si>
  <si>
    <t>Book review</t>
  </si>
  <si>
    <t>book_review</t>
  </si>
  <si>
    <t>Published abstract</t>
  </si>
  <si>
    <t>published_abstract</t>
  </si>
  <si>
    <t>Other scholarly outputs (units each; 0 = not credited)</t>
  </si>
  <si>
    <t>non_peer_reviewed_article</t>
  </si>
  <si>
    <t>non_peer_reviewed_book</t>
  </si>
  <si>
    <t>non_peer_reviewed_chapter</t>
  </si>
  <si>
    <t>Editorial and peer-review service (units each)</t>
  </si>
  <si>
    <t>Journal editor</t>
  </si>
  <si>
    <t>Associate editor</t>
  </si>
  <si>
    <t>Guest editor</t>
  </si>
  <si>
    <t>Editorial board member</t>
  </si>
  <si>
    <t>Manuscript reviews (count)</t>
  </si>
  <si>
    <t>Grant roles</t>
  </si>
  <si>
    <t>A new award meets the grant minimum</t>
  </si>
  <si>
    <t>PI</t>
  </si>
  <si>
    <t>MPI</t>
  </si>
  <si>
    <t>Co-PI</t>
  </si>
  <si>
    <t>Co-I</t>
  </si>
  <si>
    <t>Collaborator</t>
  </si>
  <si>
    <t>collaborator</t>
  </si>
  <si>
    <t>Consultant</t>
  </si>
  <si>
    <t>consultant</t>
  </si>
  <si>
    <t>Grant size bands (units)</t>
  </si>
  <si>
    <t>Band</t>
  </si>
  <si>
    <t>Proposal submitted</t>
  </si>
  <si>
    <t>Award received</t>
  </si>
  <si>
    <t>internal</t>
  </si>
  <si>
    <t>minor</t>
  </si>
  <si>
    <t>major</t>
  </si>
  <si>
    <t>large</t>
  </si>
  <si>
    <t>Grant review panels (units each)</t>
  </si>
  <si>
    <t>Panel type</t>
  </si>
  <si>
    <t>Federal review panel</t>
  </si>
  <si>
    <t>Other review panel</t>
  </si>
  <si>
    <t>Presentation types</t>
  </si>
  <si>
    <t>Local dissemination</t>
  </si>
  <si>
    <t>Keynote</t>
  </si>
  <si>
    <t>Plenary</t>
  </si>
  <si>
    <t>Invited talk</t>
  </si>
  <si>
    <t>Oral (peer-reviewed)</t>
  </si>
  <si>
    <t>Panel</t>
  </si>
  <si>
    <t>Workshop</t>
  </si>
  <si>
    <t>Poster</t>
  </si>
  <si>
    <t>Institutional symposium</t>
  </si>
  <si>
    <t>Community or practitioner outreach</t>
  </si>
  <si>
    <t>Research seminar or journal club</t>
  </si>
  <si>
    <t>A</t>
  </si>
  <si>
    <t>B</t>
  </si>
  <si>
    <t>Questionable (not credited)</t>
  </si>
  <si>
    <t>0</t>
  </si>
  <si>
    <t>Presentation roles</t>
  </si>
  <si>
    <t>Meets the presentation minimum</t>
  </si>
  <si>
    <t>Presenter</t>
  </si>
  <si>
    <t>presenter</t>
  </si>
  <si>
    <t>Mentor of student presenter</t>
  </si>
  <si>
    <t>mentor</t>
  </si>
  <si>
    <t>Coauthor (not presenting)</t>
  </si>
  <si>
    <t>Calculations</t>
  </si>
  <si>
    <t>Each line mirrors a step of the scoring engine. Do not edit.</t>
  </si>
  <si>
    <t>Step</t>
  </si>
  <si>
    <t>Name</t>
  </si>
  <si>
    <t>Inputs and adjustment</t>
  </si>
  <si>
    <t>Settings that differ from the shipped policy</t>
  </si>
  <si>
    <t>c_changed</t>
  </si>
  <si>
    <t>Rows that need completing</t>
  </si>
  <si>
    <t>c_problems</t>
  </si>
  <si>
    <t>Research effort (%)</t>
  </si>
  <si>
    <t>c_effort</t>
  </si>
  <si>
    <t>c_months</t>
  </si>
  <si>
    <t>First-year faculty</t>
  </si>
  <si>
    <t>c_first</t>
  </si>
  <si>
    <t>Not evaluated (no research assignment)</t>
  </si>
  <si>
    <t>c_not_evaluated</t>
  </si>
  <si>
    <t>Adjustment factor</t>
  </si>
  <si>
    <t>c_factor</t>
  </si>
  <si>
    <t>Scale applied to excellence caps</t>
  </si>
  <si>
    <t>c_sat_scale</t>
  </si>
  <si>
    <t>Publication minimum this year</t>
  </si>
  <si>
    <t>c_bcount</t>
  </si>
  <si>
    <t>Publication benchmark units</t>
  </si>
  <si>
    <t>c_bunits</t>
  </si>
  <si>
    <t>Proposals in development</t>
  </si>
  <si>
    <t>c_pid</t>
  </si>
  <si>
    <t>Reduced assignment needs documented activity</t>
  </si>
  <si>
    <t>c_documented</t>
  </si>
  <si>
    <t>Reduced assignment applies</t>
  </si>
  <si>
    <t>c_reduced</t>
  </si>
  <si>
    <t>Minimums waived outright</t>
  </si>
  <si>
    <t>c_waived</t>
  </si>
  <si>
    <t>Publications counted toward the minimum</t>
  </si>
  <si>
    <t>c_pub_count</t>
  </si>
  <si>
    <t>Chapter units after the cap</t>
  </si>
  <si>
    <t>c_pub_chapters</t>
  </si>
  <si>
    <t>Publication units</t>
  </si>
  <si>
    <t>c_pub_units</t>
  </si>
  <si>
    <t>Minimum met this year</t>
  </si>
  <si>
    <t>c_pub_annual</t>
  </si>
  <si>
    <t>Publications needed over three years</t>
  </si>
  <si>
    <t>c_pub_need</t>
  </si>
  <si>
    <t>Minimum met on the rolling window</t>
  </si>
  <si>
    <t>c_pub_roll</t>
  </si>
  <si>
    <t>Rolling-window rescues left after publications</t>
  </si>
  <si>
    <t>c_left1</t>
  </si>
  <si>
    <t>Publication minimum met</t>
  </si>
  <si>
    <t>c_gP</t>
  </si>
  <si>
    <t>Share of the publication minimum earned</t>
  </si>
  <si>
    <t>c_fracP</t>
  </si>
  <si>
    <t>Publication points (unrounded)</t>
  </si>
  <si>
    <t>c_rawP</t>
  </si>
  <si>
    <t>Grant review units after the cap</t>
  </si>
  <si>
    <t>c_g_review</t>
  </si>
  <si>
    <t>Grant units</t>
  </si>
  <si>
    <t>c_g_units</t>
  </si>
  <si>
    <t>Qualifying submission, award or active project</t>
  </si>
  <si>
    <t>c_g_raw</t>
  </si>
  <si>
    <t>Partial grant engagement only</t>
  </si>
  <si>
    <t>c_g_partial</t>
  </si>
  <si>
    <t>First-year allowance applies</t>
  </si>
  <si>
    <t>c_g_first</t>
  </si>
  <si>
    <t>Minimum met before the rolling window</t>
  </si>
  <si>
    <t>c_g4</t>
  </si>
  <si>
    <t>c_g_roll</t>
  </si>
  <si>
    <t>Rolling-window rescues left after grants</t>
  </si>
  <si>
    <t>c_left2</t>
  </si>
  <si>
    <t>Grant minimum met</t>
  </si>
  <si>
    <t>c_gG</t>
  </si>
  <si>
    <t>Share of the grant minimum earned</t>
  </si>
  <si>
    <t>c_fracG</t>
  </si>
  <si>
    <t>Grant points (unrounded)</t>
  </si>
  <si>
    <t>c_rawG</t>
  </si>
  <si>
    <t>New large competitive award as PI or MPI</t>
  </si>
  <si>
    <t>c_distinct</t>
  </si>
  <si>
    <t>Presentation units</t>
  </si>
  <si>
    <t>c_r_units</t>
  </si>
  <si>
    <t>Qualifying conference presentation</t>
  </si>
  <si>
    <t>c_r_raw</t>
  </si>
  <si>
    <t>Partial dissemination activity only</t>
  </si>
  <si>
    <t>c_r_partial</t>
  </si>
  <si>
    <t>c_r2</t>
  </si>
  <si>
    <t>c_r_roll</t>
  </si>
  <si>
    <t>Presentation minimum met</t>
  </si>
  <si>
    <t>c_gR</t>
  </si>
  <si>
    <t>Share of the presentation minimum earned</t>
  </si>
  <si>
    <t>c_fracR</t>
  </si>
  <si>
    <t>Presentation points (unrounded)</t>
  </si>
  <si>
    <t>c_rawR</t>
  </si>
  <si>
    <t>Displayed scores</t>
  </si>
  <si>
    <t>c_total</t>
  </si>
  <si>
    <t>Domain P rounded on its own</t>
  </si>
  <si>
    <t>c_ownP</t>
  </si>
  <si>
    <t>Domain G rounded on its own</t>
  </si>
  <si>
    <t>c_ownG</t>
  </si>
  <si>
    <t>Domain R rounded on its own</t>
  </si>
  <si>
    <t>c_ownR</t>
  </si>
  <si>
    <t>Tenths needed for the parts to add up</t>
  </si>
  <si>
    <t>c_gap</t>
  </si>
  <si>
    <t>Domain P rounding room in the needed direction</t>
  </si>
  <si>
    <t>c_errP</t>
  </si>
  <si>
    <t>Domain G rounding room in the needed direction</t>
  </si>
  <si>
    <t>c_errG</t>
  </si>
  <si>
    <t>Domain R rounding room in the needed direction</t>
  </si>
  <si>
    <t>c_errR</t>
  </si>
  <si>
    <t>Publications score shown</t>
  </si>
  <si>
    <t>c_showP</t>
  </si>
  <si>
    <t>Grants score shown</t>
  </si>
  <si>
    <t>c_showG</t>
  </si>
  <si>
    <t>Presentations score shown</t>
  </si>
  <si>
    <t>c_showR</t>
  </si>
  <si>
    <t>Domain P share of its points</t>
  </si>
  <si>
    <t>c_shareP</t>
  </si>
  <si>
    <t>Domain G share of its points</t>
  </si>
  <si>
    <t>c_shareG</t>
  </si>
  <si>
    <t>Domain R share of its points</t>
  </si>
  <si>
    <t>c_shareR</t>
  </si>
  <si>
    <t>Classification</t>
  </si>
  <si>
    <t>Minimums not met</t>
  </si>
  <si>
    <t>c_unmet</t>
  </si>
  <si>
    <t>Score reaches the Exceeds threshold</t>
  </si>
  <si>
    <t>c_by_total</t>
  </si>
  <si>
    <t>Two strong domains</t>
  </si>
  <si>
    <t>c_broad</t>
  </si>
  <si>
    <t>Rule needs two strong domains</t>
  </si>
  <si>
    <t>c_needs_breadth</t>
  </si>
  <si>
    <t>Exceeds on score</t>
  </si>
  <si>
    <t>c_on_score</t>
  </si>
  <si>
    <t>Exceeds through a large award</t>
  </si>
  <si>
    <t>c_on_award</t>
  </si>
  <si>
    <t>Nothing has been entered yet</t>
  </si>
  <si>
    <t>c_empty</t>
  </si>
  <si>
    <t>Basis for the classification</t>
  </si>
  <si>
    <t>c_basis</t>
  </si>
  <si>
    <t>c_class</t>
  </si>
  <si>
    <t>A score is available</t>
  </si>
  <si>
    <t>c_scored</t>
  </si>
  <si>
    <t>Approaching expectations</t>
  </si>
  <si>
    <t>c_approaching</t>
  </si>
  <si>
    <t>Domain P performance</t>
  </si>
  <si>
    <t>c_statusP</t>
  </si>
  <si>
    <t>Domain G performance</t>
  </si>
  <si>
    <t>c_statusG</t>
  </si>
  <si>
    <t>Domain R performance</t>
  </si>
  <si>
    <t>c_statusR</t>
  </si>
  <si>
    <t>Wording</t>
  </si>
  <si>
    <t>Unmet minimums (publications, grants)</t>
  </si>
  <si>
    <t>c_unmet_pg</t>
  </si>
  <si>
    <t>Unmet minimums</t>
  </si>
  <si>
    <t>c_unmet_names</t>
  </si>
  <si>
    <t>Why this classification</t>
  </si>
  <si>
    <t>c_reason</t>
  </si>
  <si>
    <t>Basis for the publication minimum</t>
  </si>
  <si>
    <t>c_basisP</t>
  </si>
  <si>
    <t>Basis for the grant minimum</t>
  </si>
  <si>
    <t>c_basisG</t>
  </si>
  <si>
    <t>Basis for the presentation minimum</t>
  </si>
  <si>
    <t>c_basisR</t>
  </si>
  <si>
    <t>Strong domains (publications, grants)</t>
  </si>
  <si>
    <t>c_strong_pg</t>
  </si>
  <si>
    <t>c_strengths</t>
  </si>
  <si>
    <t>c_needs</t>
  </si>
  <si>
    <t>Explanation line</t>
  </si>
  <si>
    <t>c_note1</t>
  </si>
  <si>
    <t>c_note2</t>
  </si>
  <si>
    <t>c_note3</t>
  </si>
  <si>
    <t>c_note4</t>
  </si>
  <si>
    <t>c_note5</t>
  </si>
  <si>
    <t>Committee line</t>
  </si>
  <si>
    <t>c_flag1</t>
  </si>
  <si>
    <t>c_flag2</t>
  </si>
  <si>
    <t>c_flag3</t>
  </si>
  <si>
    <t>c_flag4</t>
  </si>
  <si>
    <t>c_flag5</t>
  </si>
  <si>
    <t>Policy statement</t>
  </si>
  <si>
    <t>c_policy</t>
  </si>
  <si>
    <t>L_yesno</t>
  </si>
  <si>
    <t>L_rank</t>
  </si>
  <si>
    <t>L_appointment</t>
  </si>
  <si>
    <t>L_pubtype</t>
  </si>
  <si>
    <t>L_tier</t>
  </si>
  <si>
    <t>L_authorship</t>
  </si>
  <si>
    <t>L_quartile</t>
  </si>
  <si>
    <t>L_source</t>
  </si>
  <si>
    <t>L_grantrole</t>
  </si>
  <si>
    <t>L_status</t>
  </si>
  <si>
    <t>L_prestype</t>
  </si>
  <si>
    <t>L_venue</t>
  </si>
  <si>
    <t>L_presrole</t>
  </si>
  <si>
    <t>L_scope</t>
  </si>
  <si>
    <t>L_editorial</t>
  </si>
  <si>
    <t>L_review</t>
  </si>
  <si>
    <t>Assistant Professor</t>
  </si>
  <si>
    <t>Tenure-track</t>
  </si>
  <si>
    <t>Q1</t>
  </si>
  <si>
    <t>External</t>
  </si>
  <si>
    <t>Submitted (pending or not funded)</t>
  </si>
  <si>
    <t>International</t>
  </si>
  <si>
    <t>Associate Professor</t>
  </si>
  <si>
    <t>Tenured</t>
  </si>
  <si>
    <t>Q2</t>
  </si>
  <si>
    <t>Internal</t>
  </si>
  <si>
    <t>Awarded this year</t>
  </si>
  <si>
    <t>National</t>
  </si>
  <si>
    <t>Professor</t>
  </si>
  <si>
    <t>Non-tenure-track</t>
  </si>
  <si>
    <t>Q3</t>
  </si>
  <si>
    <t>Active (awarded in a prior year)</t>
  </si>
  <si>
    <t>Regional</t>
  </si>
  <si>
    <t>Other</t>
  </si>
  <si>
    <t>Q4</t>
  </si>
  <si>
    <t>Not yet verified</t>
  </si>
  <si>
    <t>State or local</t>
  </si>
  <si>
    <t>Not ranked</t>
  </si>
  <si>
    <t>Institutional</t>
  </si>
  <si>
    <t>Shipped values of the Settings sheet. Do not edit.</t>
  </si>
  <si>
    <t>690a203737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</si>
</sst>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0"/>
      <color rgb="FF14202B"/>
      <name val="Arial"/>
    </font>
    <font>
      <sz val="10"/>
      <color rgb="FF14202B"/>
      <name val="Arial"/>
    </font>
    <font>
      <b/>
      <sz val="16"/>
      <color rgb="FF1D4E89"/>
      <name val="Arial"/>
    </font>
    <font>
      <sz val="10"/>
      <color rgb="FF5A6A79"/>
      <name val="Arial"/>
    </font>
    <font>
      <b/>
      <sz val="10"/>
      <color rgb="FFFFFFFF"/>
      <name val="Arial"/>
    </font>
    <font>
      <i/>
      <sz val="10"/>
      <color rgb="FF14202B"/>
      <name val="Arial"/>
    </font>
    <font>
      <b/>
      <sz val="12"/>
      <color rgb="FF1D4E89"/>
      <name val="Arial"/>
    </font>
    <font>
      <b/>
      <sz val="10"/>
      <color rgb="FF5A6A79"/>
      <name val="Arial"/>
    </font>
    <font>
      <sz val="10"/>
      <color rgb="FFB0362D"/>
      <name val="Arial"/>
    </font>
    <font>
      <b/>
      <sz val="10"/>
      <color rgb="FF1D4E89"/>
      <name val="Arial"/>
    </font>
    <font>
      <b/>
      <sz val="12"/>
      <color rgb="FF14202B"/>
      <name val="Arial"/>
    </font>
    <font>
      <b/>
      <sz val="14"/>
      <color rgb="FF14202B"/>
      <name val="Arial"/>
    </font>
    <font>
      <sz val="9"/>
      <color rgb="FF5A6A79"/>
      <name val="Arial"/>
    </font>
  </fonts>
  <fills count="5">
    <fill>
      <patternFill patternType="none"/>
    </fill>
    <fill>
      <patternFill patternType="gray125"/>
    </fill>
    <fill>
      <patternFill patternType="solid">
        <fgColor rgb="FF1D4E89"/>
      </patternFill>
    </fill>
    <fill>
      <patternFill patternType="solid">
        <fgColor rgb="FFEEF1F5"/>
      </patternFill>
    </fill>
    <fill>
      <patternFill patternType="solid">
        <fgColor rgb="FFFFF8DC"/>
      </patternFill>
    </fill>
  </fills>
  <borders count="2">
    <border>
      <left/>
      <right/>
      <top/>
      <bottom/>
      <diagonal/>
    </border>
    <border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4" borderId="1" xfId="0" applyFont="1" applyFill="1" applyBorder="1" applyAlignment="1" applyProtection="1">
      <alignment vertical="top"/>
      <protection locked="0"/>
    </xf>
    <xf numFmtId="49" fontId="2" fillId="4" borderId="1" xfId="0" applyNumberFormat="1" applyFont="1" applyFill="1" applyBorder="1" applyAlignment="1" applyProtection="1">
      <alignment vertical="top"/>
      <protection locked="0"/>
    </xf>
    <xf numFmtId="0" fontId="8" fillId="0" borderId="0" xfId="0" applyFont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" fontId="2" fillId="4" borderId="1" xfId="0" applyNumberFormat="1" applyFont="1" applyFill="1" applyBorder="1" applyAlignment="1" applyProtection="1">
      <alignment vertical="top"/>
      <protection locked="0"/>
    </xf>
    <xf numFmtId="0" fontId="2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164" fontId="2" fillId="4" borderId="1" xfId="0" applyNumberFormat="1" applyFont="1" applyFill="1" applyBorder="1" applyAlignment="1" applyProtection="1">
      <alignment vertical="top"/>
      <protection locked="0"/>
    </xf>
    <xf numFmtId="0" fontId="2" fillId="0" borderId="0" xfId="0" applyFont="1" applyAlignment="1">
      <alignment vertical="top"/>
    </xf>
    <xf numFmtId="0" fontId="11" fillId="0" borderId="0" xfId="0" applyFont="1" applyAlignment="1">
      <alignment vertical="top"/>
    </xf>
    <xf numFmtId="165" fontId="12" fillId="0" borderId="0" xfId="0" applyNumberFormat="1" applyFont="1" applyAlignment="1">
      <alignment horizontal="left" vertical="top"/>
    </xf>
    <xf numFmtId="0" fontId="2" fillId="0" borderId="1" xfId="0" applyFont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vertical="top"/>
    </xf>
    <xf numFmtId="9" fontId="2" fillId="0" borderId="1" xfId="0" applyNumberFormat="1" applyFont="1" applyBorder="1" applyAlignment="1">
      <alignment vertical="top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top"/>
    </xf>
    <xf numFmtId="0" fontId="10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4" borderId="1" xfId="0" applyFont="1" applyFill="1" applyBorder="1" applyAlignment="1" applyProtection="1">
      <alignment vertical="top" wrapText="1"/>
      <protection locked="0"/>
    </xf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2" fillId="0" borderId="1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vertical="top"/>
    </xf>
  </cellXfs>
  <cellStyles count="1">
    <cellStyle name="Normal" xfId="0" builtinId="0"/>
  </cellStyles>
  <dxfs count="24">
    <dxf>
      <fill>
        <patternFill patternType="solid">
          <bgColor rgb="FFF2CFCB"/>
        </patternFill>
      </fill>
    </dxf>
    <dxf>
      <fill>
        <patternFill patternType="solid">
          <bgColor rgb="FFF6E3B5"/>
        </patternFill>
      </fill>
    </dxf>
    <dxf>
      <fill>
        <patternFill patternType="solid">
          <bgColor rgb="FFCFE8DA"/>
        </patternFill>
      </fill>
    </dxf>
    <dxf>
      <fill>
        <patternFill patternType="solid">
          <bgColor rgb="FFF2CFCB"/>
        </patternFill>
      </fill>
    </dxf>
    <dxf>
      <fill>
        <patternFill patternType="solid">
          <bgColor rgb="FFF6E3B5"/>
        </patternFill>
      </fill>
    </dxf>
    <dxf>
      <fill>
        <patternFill patternType="solid">
          <bgColor rgb="FFCFE8DA"/>
        </patternFill>
      </fill>
    </dxf>
    <dxf>
      <fill>
        <patternFill patternType="solid">
          <bgColor rgb="FFF2CFCB"/>
        </patternFill>
      </fill>
    </dxf>
    <dxf>
      <fill>
        <patternFill patternType="solid">
          <bgColor rgb="FFF6E3B5"/>
        </patternFill>
      </fill>
    </dxf>
    <dxf>
      <fill>
        <patternFill patternType="solid">
          <bgColor rgb="FFCFE8DA"/>
        </patternFill>
      </fill>
    </dxf>
    <dxf>
      <fill>
        <patternFill patternType="solid">
          <bgColor rgb="FFF2CFCB"/>
        </patternFill>
      </fill>
    </dxf>
    <dxf>
      <fill>
        <patternFill patternType="solid">
          <bgColor rgb="FFF6E3B5"/>
        </patternFill>
      </fill>
    </dxf>
    <dxf>
      <fill>
        <patternFill patternType="solid">
          <bgColor rgb="FFCFE8DA"/>
        </patternFill>
      </fill>
    </dxf>
    <dxf>
      <fill>
        <patternFill patternType="solid">
          <bgColor rgb="FFF2CFCB"/>
        </patternFill>
      </fill>
    </dxf>
    <dxf>
      <fill>
        <patternFill patternType="solid">
          <bgColor rgb="FFF6E3B5"/>
        </patternFill>
      </fill>
    </dxf>
    <dxf>
      <fill>
        <patternFill patternType="solid">
          <bgColor rgb="FFCFE8DA"/>
        </patternFill>
      </fill>
    </dxf>
    <dxf>
      <fill>
        <patternFill patternType="solid">
          <bgColor rgb="FFF2CFCB"/>
        </patternFill>
      </fill>
    </dxf>
    <dxf>
      <fill>
        <patternFill patternType="solid">
          <bgColor rgb="FFF6E3B5"/>
        </patternFill>
      </fill>
    </dxf>
    <dxf>
      <fill>
        <patternFill patternType="solid">
          <bgColor rgb="FFCFE8DA"/>
        </patternFill>
      </fill>
    </dxf>
    <dxf>
      <fill>
        <patternFill patternType="solid">
          <bgColor rgb="FFF2CFCB"/>
        </patternFill>
      </fill>
    </dxf>
    <dxf>
      <fill>
        <patternFill patternType="solid">
          <bgColor rgb="FFF6E3B5"/>
        </patternFill>
      </fill>
    </dxf>
    <dxf>
      <fill>
        <patternFill patternType="solid">
          <bgColor rgb="FFCFE8DA"/>
        </patternFill>
      </fill>
    </dxf>
    <dxf>
      <fill>
        <patternFill patternType="solid">
          <bgColor rgb="FFF2CFCB"/>
        </patternFill>
      </fill>
    </dxf>
    <dxf>
      <fill>
        <patternFill patternType="solid">
          <bgColor rgb="FFF6E3B5"/>
        </patternFill>
      </fill>
    </dxf>
    <dxf>
      <fill>
        <patternFill patternType="solid">
          <bgColor rgb="FFCFE8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/>
  </sheetViews>
  <sheetFormatPr defaultRowHeight="14.4" x14ac:dyDescent="0.3"/>
  <cols>
    <col min="1" max="1" width="22" customWidth="1"/>
    <col min="2" max="2" width="110" customWidth="1"/>
  </cols>
  <sheetData>
    <row r="1" spans="1:2" ht="21" x14ac:dyDescent="0.3">
      <c r="A1" s="1" t="s">
        <v>0</v>
      </c>
    </row>
    <row r="2" spans="1:2" x14ac:dyDescent="0.3">
      <c r="A2" s="2" t="s">
        <v>1</v>
      </c>
    </row>
    <row r="4" spans="1:2" ht="15.6" x14ac:dyDescent="0.3">
      <c r="A4" s="3" t="s">
        <v>2</v>
      </c>
    </row>
    <row r="5" spans="1:2" x14ac:dyDescent="0.3">
      <c r="A5" s="4" t="s">
        <v>3</v>
      </c>
      <c r="B5" s="5" t="s">
        <v>4</v>
      </c>
    </row>
    <row r="6" spans="1:2" x14ac:dyDescent="0.3">
      <c r="A6" s="4" t="s">
        <v>5</v>
      </c>
      <c r="B6" s="5" t="s">
        <v>6</v>
      </c>
    </row>
    <row r="7" spans="1:2" x14ac:dyDescent="0.3">
      <c r="A7" s="4" t="s">
        <v>7</v>
      </c>
      <c r="B7" s="5" t="s">
        <v>8</v>
      </c>
    </row>
    <row r="8" spans="1:2" x14ac:dyDescent="0.3">
      <c r="A8" s="4" t="s">
        <v>9</v>
      </c>
      <c r="B8" s="5" t="s">
        <v>10</v>
      </c>
    </row>
    <row r="9" spans="1:2" x14ac:dyDescent="0.3">
      <c r="A9" s="4" t="s">
        <v>11</v>
      </c>
      <c r="B9" s="5" t="s">
        <v>12</v>
      </c>
    </row>
    <row r="10" spans="1:2" x14ac:dyDescent="0.3">
      <c r="A10" s="4"/>
      <c r="B10" s="5"/>
    </row>
    <row r="11" spans="1:2" ht="15.6" x14ac:dyDescent="0.3">
      <c r="A11" s="3" t="s">
        <v>13</v>
      </c>
    </row>
    <row r="12" spans="1:2" x14ac:dyDescent="0.3">
      <c r="A12" s="4" t="s">
        <v>14</v>
      </c>
      <c r="B12" s="5" t="s">
        <v>15</v>
      </c>
    </row>
    <row r="13" spans="1:2" x14ac:dyDescent="0.3">
      <c r="A13" s="4" t="s">
        <v>16</v>
      </c>
      <c r="B13" s="5" t="s">
        <v>17</v>
      </c>
    </row>
    <row r="14" spans="1:2" x14ac:dyDescent="0.3">
      <c r="A14" s="4" t="s">
        <v>18</v>
      </c>
      <c r="B14" s="5" t="s">
        <v>19</v>
      </c>
    </row>
    <row r="15" spans="1:2" x14ac:dyDescent="0.3">
      <c r="A15" s="4"/>
      <c r="B15" s="5"/>
    </row>
    <row r="16" spans="1:2" ht="15.6" x14ac:dyDescent="0.3">
      <c r="A16" s="3" t="s">
        <v>20</v>
      </c>
    </row>
    <row r="17" spans="1:2" ht="26.4" x14ac:dyDescent="0.3">
      <c r="A17" s="4"/>
      <c r="B17" s="5" t="s">
        <v>21</v>
      </c>
    </row>
    <row r="18" spans="1:2" x14ac:dyDescent="0.3">
      <c r="A18" s="4"/>
      <c r="B18" s="5"/>
    </row>
    <row r="19" spans="1:2" ht="15.6" x14ac:dyDescent="0.3">
      <c r="A19" s="3" t="s">
        <v>22</v>
      </c>
    </row>
    <row r="20" spans="1:2" ht="26.4" x14ac:dyDescent="0.3">
      <c r="A20" s="4"/>
      <c r="B20" s="5" t="s">
        <v>23</v>
      </c>
    </row>
    <row r="21" spans="1:2" ht="26.4" x14ac:dyDescent="0.3">
      <c r="A21" s="4"/>
      <c r="B21" s="5" t="s">
        <v>24</v>
      </c>
    </row>
    <row r="22" spans="1:2" x14ac:dyDescent="0.3">
      <c r="A22" s="4"/>
      <c r="B22" s="5"/>
    </row>
    <row r="23" spans="1:2" ht="15.6" x14ac:dyDescent="0.3">
      <c r="A23" s="3" t="s">
        <v>25</v>
      </c>
    </row>
    <row r="24" spans="1:2" x14ac:dyDescent="0.3">
      <c r="A24" s="4" t="s">
        <v>26</v>
      </c>
      <c r="B24" s="5" t="s">
        <v>27</v>
      </c>
    </row>
    <row r="25" spans="1:2" x14ac:dyDescent="0.3">
      <c r="A25" s="4" t="s">
        <v>28</v>
      </c>
      <c r="B25" s="5" t="s">
        <v>29</v>
      </c>
    </row>
    <row r="26" spans="1:2" x14ac:dyDescent="0.3">
      <c r="A26" s="4" t="s">
        <v>30</v>
      </c>
      <c r="B26" s="5" t="s">
        <v>31</v>
      </c>
    </row>
    <row r="27" spans="1:2" x14ac:dyDescent="0.3">
      <c r="A27" s="4" t="s">
        <v>32</v>
      </c>
      <c r="B27" s="5" t="s">
        <v>33</v>
      </c>
    </row>
    <row r="28" spans="1:2" x14ac:dyDescent="0.3">
      <c r="A28" s="4"/>
      <c r="B28" s="5"/>
    </row>
    <row r="29" spans="1:2" ht="15.6" x14ac:dyDescent="0.3">
      <c r="A29" s="3" t="s">
        <v>34</v>
      </c>
    </row>
    <row r="30" spans="1:2" x14ac:dyDescent="0.3">
      <c r="A30" s="4" t="s">
        <v>35</v>
      </c>
      <c r="B30" s="5" t="s">
        <v>36</v>
      </c>
    </row>
    <row r="31" spans="1:2" x14ac:dyDescent="0.3">
      <c r="A31" s="4" t="s">
        <v>37</v>
      </c>
      <c r="B31" s="5" t="s">
        <v>38</v>
      </c>
    </row>
    <row r="32" spans="1:2" x14ac:dyDescent="0.3">
      <c r="A32" s="4" t="s">
        <v>39</v>
      </c>
      <c r="B32" s="5" t="s">
        <v>40</v>
      </c>
    </row>
    <row r="33" spans="1:2" x14ac:dyDescent="0.3">
      <c r="A33" s="4"/>
      <c r="B33" s="5"/>
    </row>
    <row r="34" spans="1:2" ht="15.6" x14ac:dyDescent="0.3">
      <c r="A34" s="3" t="s">
        <v>41</v>
      </c>
    </row>
    <row r="35" spans="1:2" ht="26.4" x14ac:dyDescent="0.3">
      <c r="A35" s="4"/>
      <c r="B35" s="5" t="s">
        <v>42</v>
      </c>
    </row>
    <row r="36" spans="1:2" x14ac:dyDescent="0.3">
      <c r="A36" s="4"/>
      <c r="B36" s="5" t="s">
        <v>43</v>
      </c>
    </row>
    <row r="37" spans="1:2" x14ac:dyDescent="0.3">
      <c r="A37" s="4"/>
      <c r="B37" s="5"/>
    </row>
    <row r="38" spans="1:2" ht="15.6" x14ac:dyDescent="0.3">
      <c r="A38" s="3" t="s">
        <v>44</v>
      </c>
    </row>
    <row r="39" spans="1:2" x14ac:dyDescent="0.3">
      <c r="A39" s="4"/>
      <c r="B39" s="5" t="s">
        <v>45</v>
      </c>
    </row>
    <row r="40" spans="1:2" x14ac:dyDescent="0.3">
      <c r="A40" s="4"/>
      <c r="B40" s="5" t="s">
        <v>46</v>
      </c>
    </row>
    <row r="41" spans="1:2" x14ac:dyDescent="0.3">
      <c r="A41" s="4"/>
      <c r="B41" s="5" t="s">
        <v>47</v>
      </c>
    </row>
  </sheetData>
  <sheetProtection sheet="1" formatColumns="0" formatRows="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4" x14ac:dyDescent="0.3"/>
  <cols>
    <col min="1" max="1" width="42" customWidth="1"/>
    <col min="2" max="2" width="36" customWidth="1"/>
    <col min="3" max="3" width="50" customWidth="1"/>
  </cols>
  <sheetData>
    <row r="1" spans="1:3" ht="21" x14ac:dyDescent="0.3">
      <c r="A1" s="1" t="s">
        <v>48</v>
      </c>
    </row>
    <row r="2" spans="1:3" x14ac:dyDescent="0.3">
      <c r="A2" s="2" t="s">
        <v>49</v>
      </c>
    </row>
    <row r="4" spans="1:3" x14ac:dyDescent="0.3">
      <c r="A4" s="4" t="s">
        <v>50</v>
      </c>
      <c r="B4" s="6"/>
    </row>
    <row r="5" spans="1:3" x14ac:dyDescent="0.3">
      <c r="A5" s="4" t="s">
        <v>51</v>
      </c>
      <c r="B5" s="6"/>
    </row>
    <row r="6" spans="1:3" x14ac:dyDescent="0.3">
      <c r="A6" s="4" t="s">
        <v>52</v>
      </c>
      <c r="B6" s="6"/>
    </row>
    <row r="7" spans="1:3" x14ac:dyDescent="0.3">
      <c r="A7" s="4" t="s">
        <v>53</v>
      </c>
      <c r="B7" s="6"/>
    </row>
    <row r="8" spans="1:3" x14ac:dyDescent="0.3">
      <c r="A8" s="4" t="s">
        <v>54</v>
      </c>
      <c r="B8" s="6"/>
    </row>
    <row r="9" spans="1:3" x14ac:dyDescent="0.3">
      <c r="A9" s="4" t="s">
        <v>55</v>
      </c>
      <c r="B9" s="7"/>
    </row>
    <row r="11" spans="1:3" ht="15.6" x14ac:dyDescent="0.3">
      <c r="A11" s="3" t="s">
        <v>56</v>
      </c>
    </row>
    <row r="12" spans="1:3" x14ac:dyDescent="0.3">
      <c r="A12" s="4" t="s">
        <v>57</v>
      </c>
      <c r="B12" s="6"/>
      <c r="C12" s="2" t="str">
        <f>IF(f_effort="","Using the standard assignment of "&amp;s_standard_research_effort&amp;"%","")</f>
        <v>Using the standard assignment of 40%</v>
      </c>
    </row>
    <row r="13" spans="1:3" x14ac:dyDescent="0.3">
      <c r="A13" s="4" t="s">
        <v>58</v>
      </c>
      <c r="B13" s="6"/>
    </row>
    <row r="14" spans="1:3" x14ac:dyDescent="0.3">
      <c r="A14" s="4" t="s">
        <v>59</v>
      </c>
      <c r="B14" s="6"/>
    </row>
  </sheetData>
  <sheetProtection sheet="1" formatColumns="0" formatRows="0"/>
  <dataValidations count="5">
    <dataValidation type="list" allowBlank="1" showErrorMessage="1" errorTitle="Choose from the list" error="Pick one of the listed values." sqref="B6" xr:uid="{00000000-0002-0000-0100-000000000000}">
      <formula1>L_rank</formula1>
    </dataValidation>
    <dataValidation type="list" allowBlank="1" showErrorMessage="1" errorTitle="Choose from the list" error="Pick one of the listed values." sqref="B8" xr:uid="{00000000-0002-0000-0100-000001000000}">
      <formula1>L_appointment</formula1>
    </dataValidation>
    <dataValidation type="decimal" allowBlank="1" showInputMessage="1" showErrorMessage="1" errorTitle="Check the value" error="Enter a number from 0 to 100." promptTitle="Guidance" prompt="Leave blank to use the policy's standard research assignment." sqref="B12" xr:uid="{00000000-0002-0000-0100-000002000000}">
      <formula1>0</formula1>
      <formula2>100</formula2>
    </dataValidation>
    <dataValidation type="decimal" allowBlank="1" showInputMessage="1" showErrorMessage="1" errorTitle="Check the value" error="Enter a number from 0 to 12." promptTitle="Guidance" prompt="Blank counts as 12. Subtract approved non-research leave; count sabbatical as active." sqref="B13" xr:uid="{00000000-0002-0000-0100-000003000000}">
      <formula1>0</formula1>
      <formula2>12</formula2>
    </dataValidation>
    <dataValidation type="list" allowBlank="1" showErrorMessage="1" errorTitle="Choose from the list" error="Pick one of the listed values." sqref="B14" xr:uid="{00000000-0002-0000-0100-000004000000}">
      <formula1>L_yesno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2" width="24" customWidth="1"/>
    <col min="3" max="3" width="22" customWidth="1"/>
    <col min="4" max="4" width="10" customWidth="1"/>
    <col min="5" max="6" width="22" customWidth="1"/>
    <col min="7" max="7" width="12" customWidth="1"/>
    <col min="8" max="8" width="11" customWidth="1"/>
    <col min="9" max="9" width="22" customWidth="1"/>
    <col min="10" max="11" width="10" customWidth="1"/>
    <col min="12" max="12" width="11" customWidth="1"/>
    <col min="14" max="16" width="11" customWidth="1"/>
    <col min="17" max="17" width="46" customWidth="1"/>
    <col min="18" max="37" width="11" customWidth="1"/>
    <col min="38" max="38" width="46" customWidth="1"/>
  </cols>
  <sheetData>
    <row r="1" spans="1:38" ht="21" x14ac:dyDescent="0.3">
      <c r="A1" s="1" t="s">
        <v>60</v>
      </c>
    </row>
    <row r="2" spans="1:38" x14ac:dyDescent="0.3">
      <c r="A2" s="2" t="s">
        <v>61</v>
      </c>
    </row>
    <row r="3" spans="1:38" x14ac:dyDescent="0.3">
      <c r="A3" s="2" t="s">
        <v>62</v>
      </c>
      <c r="N3" s="8" t="s">
        <v>63</v>
      </c>
    </row>
    <row r="4" spans="1:38" ht="43.95" customHeight="1" x14ac:dyDescent="0.3">
      <c r="A4" s="9" t="s">
        <v>64</v>
      </c>
      <c r="B4" s="9" t="s">
        <v>65</v>
      </c>
      <c r="C4" s="9" t="s">
        <v>66</v>
      </c>
      <c r="D4" s="9" t="s">
        <v>67</v>
      </c>
      <c r="E4" s="9" t="s">
        <v>68</v>
      </c>
      <c r="F4" s="9" t="s">
        <v>69</v>
      </c>
      <c r="G4" s="9" t="s">
        <v>70</v>
      </c>
      <c r="H4" s="9" t="s">
        <v>71</v>
      </c>
      <c r="I4" s="9" t="s">
        <v>72</v>
      </c>
      <c r="J4" s="9" t="s">
        <v>73</v>
      </c>
      <c r="K4" s="9" t="s">
        <v>74</v>
      </c>
      <c r="L4" s="9" t="s">
        <v>75</v>
      </c>
      <c r="N4" s="10" t="s">
        <v>76</v>
      </c>
      <c r="O4" s="10" t="s">
        <v>77</v>
      </c>
      <c r="P4" s="10" t="s">
        <v>67</v>
      </c>
      <c r="Q4" s="10" t="s">
        <v>78</v>
      </c>
      <c r="R4" s="10" t="s">
        <v>79</v>
      </c>
      <c r="S4" s="10" t="s">
        <v>80</v>
      </c>
      <c r="T4" s="10" t="s">
        <v>81</v>
      </c>
      <c r="U4" s="10" t="s">
        <v>82</v>
      </c>
      <c r="V4" s="10" t="s">
        <v>83</v>
      </c>
      <c r="W4" s="10" t="s">
        <v>84</v>
      </c>
      <c r="X4" s="10" t="s">
        <v>85</v>
      </c>
      <c r="Y4" s="10" t="s">
        <v>86</v>
      </c>
      <c r="Z4" s="10" t="s">
        <v>87</v>
      </c>
      <c r="AA4" s="10" t="s">
        <v>88</v>
      </c>
      <c r="AB4" s="10" t="s">
        <v>89</v>
      </c>
      <c r="AC4" s="10" t="s">
        <v>90</v>
      </c>
      <c r="AD4" s="10" t="s">
        <v>91</v>
      </c>
      <c r="AE4" s="10" t="s">
        <v>92</v>
      </c>
      <c r="AF4" s="10" t="s">
        <v>93</v>
      </c>
      <c r="AG4" s="10" t="s">
        <v>94</v>
      </c>
      <c r="AH4" s="10" t="s">
        <v>95</v>
      </c>
      <c r="AI4" s="10" t="s">
        <v>96</v>
      </c>
      <c r="AJ4" s="10" t="s">
        <v>97</v>
      </c>
      <c r="AK4" s="10" t="s">
        <v>98</v>
      </c>
      <c r="AL4" s="10" t="s">
        <v>99</v>
      </c>
    </row>
    <row r="5" spans="1:38" x14ac:dyDescent="0.3">
      <c r="A5" s="6"/>
      <c r="B5" s="6"/>
      <c r="C5" s="6"/>
      <c r="D5" s="6"/>
      <c r="E5" s="6"/>
      <c r="F5" s="6"/>
      <c r="G5" s="6"/>
      <c r="H5" s="11"/>
      <c r="I5" s="6"/>
      <c r="J5" s="6"/>
      <c r="K5" s="6"/>
      <c r="L5" s="6"/>
      <c r="N5" s="12">
        <f t="shared" ref="N5:N44" si="0">IF(C5&lt;&gt;"",1,0)</f>
        <v>0</v>
      </c>
      <c r="O5" s="12" t="str">
        <f t="shared" ref="O5:O44" si="1">IF(N5=0,"",INDEX(PT_code,MATCH(C5,PT_label,0)))</f>
        <v/>
      </c>
      <c r="P5" s="12">
        <f t="shared" ref="P5:P44" si="2">IF(D5="No",0,1)</f>
        <v>1</v>
      </c>
      <c r="Q5" s="13" t="str">
        <f t="shared" ref="Q5:Q44" si="3">IF(AND(C5="",OR(A5&lt;&gt;"",B5&lt;&gt;"")),"Choose a publication type",IF(N5=0,"",IF(AND(O5="article",P5=1,E5=""),"Choose a journal tier (or 'Not yet verified')",IF(AND(OR(O5="article",O5="book"),F5=""),"Choose the authorship (or 'Not yet verified')",""))))</f>
        <v/>
      </c>
      <c r="R5" s="12">
        <f t="shared" ref="R5:R44" si="4">IF(AND(N5=1,Q5=""),1,0)</f>
        <v>0</v>
      </c>
      <c r="S5" s="12">
        <f t="shared" ref="S5:S44" si="5">IF(AND(R5=1,s_honour_prior_year_publications="Yes",L5="Yes"),1,0)</f>
        <v>0</v>
      </c>
      <c r="T5" s="12">
        <f t="shared" ref="T5:T44" si="6">IF(OR(E5="",E5="Not yet verified"),3,INDEX(TR_num,MATCH(E5,TR_label,0)))</f>
        <v>3</v>
      </c>
      <c r="U5" s="12">
        <f t="shared" ref="U5:U44" si="7">INDEX(TR_mult,MATCH(T5,TR_num,0))</f>
        <v>1</v>
      </c>
      <c r="V5" s="12" t="str">
        <f t="shared" ref="V5:V44" si="8">IF(OR(F5="",F5="Not yet verified"),IF(O5="book",s_missing_defaults_book_role,"coauthor"),INDEX(AU_code,MATCH(F5,AU_label,0)))</f>
        <v>coauthor</v>
      </c>
      <c r="W5" s="12">
        <f t="shared" ref="W5:W44" si="9">INDEX(RM_mult,MATCH(V5,RM_code,0))</f>
        <v>0.7</v>
      </c>
      <c r="X5" s="12" t="str">
        <f t="shared" ref="X5:X44" si="10">IF(R5=0,"",IF(AND(O5="article",P5=1),IF(T5=0,"tier0","article"),IF(AND(O5="book",P5=1),"book",IF(AND(O5="chapter",P5=1),"chapter","other"))))</f>
        <v/>
      </c>
      <c r="Y5" s="12">
        <f t="shared" ref="Y5:Y44" si="11">IF(X5&lt;&gt;"other",0,IFERROR(INDEX(OO_units,MATCH(IF(OR(O5="article",O5="book",O5="chapter"),"non_peer_reviewed_"&amp;O5,O5),OO_key,0)),0))</f>
        <v>0</v>
      </c>
      <c r="Z5" s="12">
        <f t="shared" ref="Z5:Z44" si="12">IF(R5=0,0,ROUND(IF(S5=1,-1,IF(X5="article",U5*W5,IF(X5="tier0",0,IF(X5="book",s_book_units*IF(V5="lead",1,s_book_coauthor_mult),IF(X5="chapter",s_chapter_units,Y5))))),6))</f>
        <v>0</v>
      </c>
      <c r="AA5" s="12" t="str">
        <f t="shared" ref="AA5:AA44" si="13">IF(R5=0,"",LOWER(TRIM(I5)))</f>
        <v/>
      </c>
      <c r="AB5" s="12" t="str">
        <f t="shared" ref="AB5:AB44" si="14">IF(AA5="","",IF(s_normalise_ids="Yes",IF(LEFT(AA5,16)="https://doi.org/",MID(AA5,17,500),IF(LEFT(AA5,15)="http://doi.org/",MID(AA5,16,500),IF(LEFT(AA5,19)="https://dx.doi.org/",MID(AA5,20,500),IF(LEFT(AA5,18)="http://dx.doi.org/",MID(AA5,19,500),IF(LEFT(AA5,4)="doi:",MID(AA5,5,500),AA5))))),AA5))</f>
        <v/>
      </c>
      <c r="AC5" s="12">
        <f>IF(AB5="",1,IF(SUMPRODUCT((AB$5:AB$44=AB5)*(Z$5:Z$44&gt;Z5))=0,1,0))</f>
        <v>1</v>
      </c>
      <c r="AD5" s="12">
        <f t="shared" ref="AD5:AD44" si="15">IF(AND(R5=1,AB5&lt;&gt;"",AC5=0,s_dedupe_doi="Yes"),1,0)</f>
        <v>0</v>
      </c>
      <c r="AE5" s="12">
        <f t="shared" ref="AE5:AE44" si="16">IF(AND(R5=1,S5=0,AD5=0),1,0)</f>
        <v>0</v>
      </c>
      <c r="AF5" s="12">
        <f t="shared" ref="AF5:AF44" si="17">IF(AE5=0,0,IF(X5="article",U5*W5+IF(AND(G5="Yes",V5="lead"),s_student_mentee_increment,0),IF(X5="book",s_book_units*IF(V5="lead",1,s_book_coauthor_mult),0)))</f>
        <v>0</v>
      </c>
      <c r="AG5" s="12">
        <f t="shared" ref="AG5:AG44" si="18">IF(AND(AE5=1,X5="chapter"),s_chapter_units,0)</f>
        <v>0</v>
      </c>
      <c r="AH5" s="12">
        <f t="shared" ref="AH5:AH44" si="19">IF(AND(AE5=1,X5="other"),Y5,0)</f>
        <v>0</v>
      </c>
      <c r="AI5" s="12">
        <f t="shared" ref="AI5:AI44" si="20">IF(AND(AE5=1,X5="chapter"),1,0)</f>
        <v>0</v>
      </c>
      <c r="AJ5" s="12">
        <f>IF(AE5=0,0,IF(X5="article",1,IF(X5="book",2,IF(AND(X5="chapter",SUM(AI$4:AI4)=0),1,0))))</f>
        <v>0</v>
      </c>
      <c r="AK5" s="12">
        <f t="shared" ref="AK5:AK44" si="21">IF(AND(AE5=1,X5&lt;&gt;"tier0",NOT(AND(O5="article",P5=0))),s_impact_units*N(H5),0)</f>
        <v>0</v>
      </c>
      <c r="AL5" s="12" t="str">
        <f t="shared" ref="AL5:AL44" si="22">IF(R5=0,"",IF(S5=1,"Credited in a prior year: excluded",IF(AD5=1,"Duplicate DOI: counted once (the entry with the most credit is kept)",IF(X5="tier0","Questionable venue: not credited",IF(AND(X5="article",OR(E5="",E5="Not yet verified")),"Journal tier not verified: treated as Tier 3",IF(AND(OR(X5="article",X5="book"),F5="Not yet verified"),"Author role not verified: treated as "&amp;V5,IF(AND(X5="other",Y5=0),"This type earns no credit under the current settings","")))))))</f>
        <v/>
      </c>
    </row>
    <row r="6" spans="1:38" x14ac:dyDescent="0.3">
      <c r="A6" s="6"/>
      <c r="B6" s="6"/>
      <c r="C6" s="6"/>
      <c r="D6" s="6"/>
      <c r="E6" s="6"/>
      <c r="F6" s="6"/>
      <c r="G6" s="6"/>
      <c r="H6" s="11"/>
      <c r="I6" s="6"/>
      <c r="J6" s="6"/>
      <c r="K6" s="6"/>
      <c r="L6" s="6"/>
      <c r="N6" s="12">
        <f t="shared" si="0"/>
        <v>0</v>
      </c>
      <c r="O6" s="12" t="str">
        <f t="shared" si="1"/>
        <v/>
      </c>
      <c r="P6" s="12">
        <f t="shared" si="2"/>
        <v>1</v>
      </c>
      <c r="Q6" s="13" t="str">
        <f t="shared" si="3"/>
        <v/>
      </c>
      <c r="R6" s="12">
        <f t="shared" si="4"/>
        <v>0</v>
      </c>
      <c r="S6" s="12">
        <f t="shared" si="5"/>
        <v>0</v>
      </c>
      <c r="T6" s="12">
        <f t="shared" si="6"/>
        <v>3</v>
      </c>
      <c r="U6" s="12">
        <f t="shared" si="7"/>
        <v>1</v>
      </c>
      <c r="V6" s="12" t="str">
        <f t="shared" si="8"/>
        <v>coauthor</v>
      </c>
      <c r="W6" s="12">
        <f t="shared" si="9"/>
        <v>0.7</v>
      </c>
      <c r="X6" s="12" t="str">
        <f t="shared" si="10"/>
        <v/>
      </c>
      <c r="Y6" s="12">
        <f t="shared" si="11"/>
        <v>0</v>
      </c>
      <c r="Z6" s="12">
        <f t="shared" si="12"/>
        <v>0</v>
      </c>
      <c r="AA6" s="12" t="str">
        <f t="shared" si="13"/>
        <v/>
      </c>
      <c r="AB6" s="12" t="str">
        <f t="shared" si="14"/>
        <v/>
      </c>
      <c r="AC6" s="12">
        <f>IF(AB6="",1,IF(AND(SUMPRODUCT((AB$5:AB$44=AB6)*(Z$5:Z$44&gt;Z6))=0,SUMPRODUCT((AB$5:AB5=AB6)*(Z$5:Z5=Z6))=0),1,0))</f>
        <v>1</v>
      </c>
      <c r="AD6" s="12">
        <f t="shared" si="15"/>
        <v>0</v>
      </c>
      <c r="AE6" s="12">
        <f t="shared" si="16"/>
        <v>0</v>
      </c>
      <c r="AF6" s="12">
        <f t="shared" si="17"/>
        <v>0</v>
      </c>
      <c r="AG6" s="12">
        <f t="shared" si="18"/>
        <v>0</v>
      </c>
      <c r="AH6" s="12">
        <f t="shared" si="19"/>
        <v>0</v>
      </c>
      <c r="AI6" s="12">
        <f t="shared" si="20"/>
        <v>0</v>
      </c>
      <c r="AJ6" s="12">
        <f>IF(AE6=0,0,IF(X6="article",1,IF(X6="book",2,IF(AND(X6="chapter",SUM(AI$4:AI5)=0),1,0))))</f>
        <v>0</v>
      </c>
      <c r="AK6" s="12">
        <f t="shared" si="21"/>
        <v>0</v>
      </c>
      <c r="AL6" s="12" t="str">
        <f t="shared" si="22"/>
        <v/>
      </c>
    </row>
    <row r="7" spans="1:38" x14ac:dyDescent="0.3">
      <c r="A7" s="6"/>
      <c r="B7" s="6"/>
      <c r="C7" s="6"/>
      <c r="D7" s="6"/>
      <c r="E7" s="6"/>
      <c r="F7" s="6"/>
      <c r="G7" s="6"/>
      <c r="H7" s="11"/>
      <c r="I7" s="6"/>
      <c r="J7" s="6"/>
      <c r="K7" s="6"/>
      <c r="L7" s="6"/>
      <c r="N7" s="12">
        <f t="shared" si="0"/>
        <v>0</v>
      </c>
      <c r="O7" s="12" t="str">
        <f t="shared" si="1"/>
        <v/>
      </c>
      <c r="P7" s="12">
        <f t="shared" si="2"/>
        <v>1</v>
      </c>
      <c r="Q7" s="13" t="str">
        <f t="shared" si="3"/>
        <v/>
      </c>
      <c r="R7" s="12">
        <f t="shared" si="4"/>
        <v>0</v>
      </c>
      <c r="S7" s="12">
        <f t="shared" si="5"/>
        <v>0</v>
      </c>
      <c r="T7" s="12">
        <f t="shared" si="6"/>
        <v>3</v>
      </c>
      <c r="U7" s="12">
        <f t="shared" si="7"/>
        <v>1</v>
      </c>
      <c r="V7" s="12" t="str">
        <f t="shared" si="8"/>
        <v>coauthor</v>
      </c>
      <c r="W7" s="12">
        <f t="shared" si="9"/>
        <v>0.7</v>
      </c>
      <c r="X7" s="12" t="str">
        <f t="shared" si="10"/>
        <v/>
      </c>
      <c r="Y7" s="12">
        <f t="shared" si="11"/>
        <v>0</v>
      </c>
      <c r="Z7" s="12">
        <f t="shared" si="12"/>
        <v>0</v>
      </c>
      <c r="AA7" s="12" t="str">
        <f t="shared" si="13"/>
        <v/>
      </c>
      <c r="AB7" s="12" t="str">
        <f t="shared" si="14"/>
        <v/>
      </c>
      <c r="AC7" s="12">
        <f>IF(AB7="",1,IF(AND(SUMPRODUCT((AB$5:AB$44=AB7)*(Z$5:Z$44&gt;Z7))=0,SUMPRODUCT((AB$5:AB6=AB7)*(Z$5:Z6=Z7))=0),1,0))</f>
        <v>1</v>
      </c>
      <c r="AD7" s="12">
        <f t="shared" si="15"/>
        <v>0</v>
      </c>
      <c r="AE7" s="12">
        <f t="shared" si="16"/>
        <v>0</v>
      </c>
      <c r="AF7" s="12">
        <f t="shared" si="17"/>
        <v>0</v>
      </c>
      <c r="AG7" s="12">
        <f t="shared" si="18"/>
        <v>0</v>
      </c>
      <c r="AH7" s="12">
        <f t="shared" si="19"/>
        <v>0</v>
      </c>
      <c r="AI7" s="12">
        <f t="shared" si="20"/>
        <v>0</v>
      </c>
      <c r="AJ7" s="12">
        <f>IF(AE7=0,0,IF(X7="article",1,IF(X7="book",2,IF(AND(X7="chapter",SUM(AI$4:AI6)=0),1,0))))</f>
        <v>0</v>
      </c>
      <c r="AK7" s="12">
        <f t="shared" si="21"/>
        <v>0</v>
      </c>
      <c r="AL7" s="12" t="str">
        <f t="shared" si="22"/>
        <v/>
      </c>
    </row>
    <row r="8" spans="1:38" x14ac:dyDescent="0.3">
      <c r="A8" s="6"/>
      <c r="B8" s="6"/>
      <c r="C8" s="6"/>
      <c r="D8" s="6"/>
      <c r="E8" s="6"/>
      <c r="F8" s="6"/>
      <c r="G8" s="6"/>
      <c r="H8" s="11"/>
      <c r="I8" s="6"/>
      <c r="J8" s="6"/>
      <c r="K8" s="6"/>
      <c r="L8" s="6"/>
      <c r="N8" s="12">
        <f t="shared" si="0"/>
        <v>0</v>
      </c>
      <c r="O8" s="12" t="str">
        <f t="shared" si="1"/>
        <v/>
      </c>
      <c r="P8" s="12">
        <f t="shared" si="2"/>
        <v>1</v>
      </c>
      <c r="Q8" s="13" t="str">
        <f t="shared" si="3"/>
        <v/>
      </c>
      <c r="R8" s="12">
        <f t="shared" si="4"/>
        <v>0</v>
      </c>
      <c r="S8" s="12">
        <f t="shared" si="5"/>
        <v>0</v>
      </c>
      <c r="T8" s="12">
        <f t="shared" si="6"/>
        <v>3</v>
      </c>
      <c r="U8" s="12">
        <f t="shared" si="7"/>
        <v>1</v>
      </c>
      <c r="V8" s="12" t="str">
        <f t="shared" si="8"/>
        <v>coauthor</v>
      </c>
      <c r="W8" s="12">
        <f t="shared" si="9"/>
        <v>0.7</v>
      </c>
      <c r="X8" s="12" t="str">
        <f t="shared" si="10"/>
        <v/>
      </c>
      <c r="Y8" s="12">
        <f t="shared" si="11"/>
        <v>0</v>
      </c>
      <c r="Z8" s="12">
        <f t="shared" si="12"/>
        <v>0</v>
      </c>
      <c r="AA8" s="12" t="str">
        <f t="shared" si="13"/>
        <v/>
      </c>
      <c r="AB8" s="12" t="str">
        <f t="shared" si="14"/>
        <v/>
      </c>
      <c r="AC8" s="12">
        <f>IF(AB8="",1,IF(AND(SUMPRODUCT((AB$5:AB$44=AB8)*(Z$5:Z$44&gt;Z8))=0,SUMPRODUCT((AB$5:AB7=AB8)*(Z$5:Z7=Z8))=0),1,0))</f>
        <v>1</v>
      </c>
      <c r="AD8" s="12">
        <f t="shared" si="15"/>
        <v>0</v>
      </c>
      <c r="AE8" s="12">
        <f t="shared" si="16"/>
        <v>0</v>
      </c>
      <c r="AF8" s="12">
        <f t="shared" si="17"/>
        <v>0</v>
      </c>
      <c r="AG8" s="12">
        <f t="shared" si="18"/>
        <v>0</v>
      </c>
      <c r="AH8" s="12">
        <f t="shared" si="19"/>
        <v>0</v>
      </c>
      <c r="AI8" s="12">
        <f t="shared" si="20"/>
        <v>0</v>
      </c>
      <c r="AJ8" s="12">
        <f>IF(AE8=0,0,IF(X8="article",1,IF(X8="book",2,IF(AND(X8="chapter",SUM(AI$4:AI7)=0),1,0))))</f>
        <v>0</v>
      </c>
      <c r="AK8" s="12">
        <f t="shared" si="21"/>
        <v>0</v>
      </c>
      <c r="AL8" s="12" t="str">
        <f t="shared" si="22"/>
        <v/>
      </c>
    </row>
    <row r="9" spans="1:38" x14ac:dyDescent="0.3">
      <c r="A9" s="6"/>
      <c r="B9" s="6"/>
      <c r="C9" s="6"/>
      <c r="D9" s="6"/>
      <c r="E9" s="6"/>
      <c r="F9" s="6"/>
      <c r="G9" s="6"/>
      <c r="H9" s="11"/>
      <c r="I9" s="6"/>
      <c r="J9" s="6"/>
      <c r="K9" s="6"/>
      <c r="L9" s="6"/>
      <c r="N9" s="12">
        <f t="shared" si="0"/>
        <v>0</v>
      </c>
      <c r="O9" s="12" t="str">
        <f t="shared" si="1"/>
        <v/>
      </c>
      <c r="P9" s="12">
        <f t="shared" si="2"/>
        <v>1</v>
      </c>
      <c r="Q9" s="13" t="str">
        <f t="shared" si="3"/>
        <v/>
      </c>
      <c r="R9" s="12">
        <f t="shared" si="4"/>
        <v>0</v>
      </c>
      <c r="S9" s="12">
        <f t="shared" si="5"/>
        <v>0</v>
      </c>
      <c r="T9" s="12">
        <f t="shared" si="6"/>
        <v>3</v>
      </c>
      <c r="U9" s="12">
        <f t="shared" si="7"/>
        <v>1</v>
      </c>
      <c r="V9" s="12" t="str">
        <f t="shared" si="8"/>
        <v>coauthor</v>
      </c>
      <c r="W9" s="12">
        <f t="shared" si="9"/>
        <v>0.7</v>
      </c>
      <c r="X9" s="12" t="str">
        <f t="shared" si="10"/>
        <v/>
      </c>
      <c r="Y9" s="12">
        <f t="shared" si="11"/>
        <v>0</v>
      </c>
      <c r="Z9" s="12">
        <f t="shared" si="12"/>
        <v>0</v>
      </c>
      <c r="AA9" s="12" t="str">
        <f t="shared" si="13"/>
        <v/>
      </c>
      <c r="AB9" s="12" t="str">
        <f t="shared" si="14"/>
        <v/>
      </c>
      <c r="AC9" s="12">
        <f>IF(AB9="",1,IF(AND(SUMPRODUCT((AB$5:AB$44=AB9)*(Z$5:Z$44&gt;Z9))=0,SUMPRODUCT((AB$5:AB8=AB9)*(Z$5:Z8=Z9))=0),1,0))</f>
        <v>1</v>
      </c>
      <c r="AD9" s="12">
        <f t="shared" si="15"/>
        <v>0</v>
      </c>
      <c r="AE9" s="12">
        <f t="shared" si="16"/>
        <v>0</v>
      </c>
      <c r="AF9" s="12">
        <f t="shared" si="17"/>
        <v>0</v>
      </c>
      <c r="AG9" s="12">
        <f t="shared" si="18"/>
        <v>0</v>
      </c>
      <c r="AH9" s="12">
        <f t="shared" si="19"/>
        <v>0</v>
      </c>
      <c r="AI9" s="12">
        <f t="shared" si="20"/>
        <v>0</v>
      </c>
      <c r="AJ9" s="12">
        <f>IF(AE9=0,0,IF(X9="article",1,IF(X9="book",2,IF(AND(X9="chapter",SUM(AI$4:AI8)=0),1,0))))</f>
        <v>0</v>
      </c>
      <c r="AK9" s="12">
        <f t="shared" si="21"/>
        <v>0</v>
      </c>
      <c r="AL9" s="12" t="str">
        <f t="shared" si="22"/>
        <v/>
      </c>
    </row>
    <row r="10" spans="1:38" x14ac:dyDescent="0.3">
      <c r="A10" s="6"/>
      <c r="B10" s="6"/>
      <c r="C10" s="6"/>
      <c r="D10" s="6"/>
      <c r="E10" s="6"/>
      <c r="F10" s="6"/>
      <c r="G10" s="6"/>
      <c r="H10" s="11"/>
      <c r="I10" s="6"/>
      <c r="J10" s="6"/>
      <c r="K10" s="6"/>
      <c r="L10" s="6"/>
      <c r="N10" s="12">
        <f t="shared" si="0"/>
        <v>0</v>
      </c>
      <c r="O10" s="12" t="str">
        <f t="shared" si="1"/>
        <v/>
      </c>
      <c r="P10" s="12">
        <f t="shared" si="2"/>
        <v>1</v>
      </c>
      <c r="Q10" s="13" t="str">
        <f t="shared" si="3"/>
        <v/>
      </c>
      <c r="R10" s="12">
        <f t="shared" si="4"/>
        <v>0</v>
      </c>
      <c r="S10" s="12">
        <f t="shared" si="5"/>
        <v>0</v>
      </c>
      <c r="T10" s="12">
        <f t="shared" si="6"/>
        <v>3</v>
      </c>
      <c r="U10" s="12">
        <f t="shared" si="7"/>
        <v>1</v>
      </c>
      <c r="V10" s="12" t="str">
        <f t="shared" si="8"/>
        <v>coauthor</v>
      </c>
      <c r="W10" s="12">
        <f t="shared" si="9"/>
        <v>0.7</v>
      </c>
      <c r="X10" s="12" t="str">
        <f t="shared" si="10"/>
        <v/>
      </c>
      <c r="Y10" s="12">
        <f t="shared" si="11"/>
        <v>0</v>
      </c>
      <c r="Z10" s="12">
        <f t="shared" si="12"/>
        <v>0</v>
      </c>
      <c r="AA10" s="12" t="str">
        <f t="shared" si="13"/>
        <v/>
      </c>
      <c r="AB10" s="12" t="str">
        <f t="shared" si="14"/>
        <v/>
      </c>
      <c r="AC10" s="12">
        <f>IF(AB10="",1,IF(AND(SUMPRODUCT((AB$5:AB$44=AB10)*(Z$5:Z$44&gt;Z10))=0,SUMPRODUCT((AB$5:AB9=AB10)*(Z$5:Z9=Z10))=0),1,0))</f>
        <v>1</v>
      </c>
      <c r="AD10" s="12">
        <f t="shared" si="15"/>
        <v>0</v>
      </c>
      <c r="AE10" s="12">
        <f t="shared" si="16"/>
        <v>0</v>
      </c>
      <c r="AF10" s="12">
        <f t="shared" si="17"/>
        <v>0</v>
      </c>
      <c r="AG10" s="12">
        <f t="shared" si="18"/>
        <v>0</v>
      </c>
      <c r="AH10" s="12">
        <f t="shared" si="19"/>
        <v>0</v>
      </c>
      <c r="AI10" s="12">
        <f t="shared" si="20"/>
        <v>0</v>
      </c>
      <c r="AJ10" s="12">
        <f>IF(AE10=0,0,IF(X10="article",1,IF(X10="book",2,IF(AND(X10="chapter",SUM(AI$4:AI9)=0),1,0))))</f>
        <v>0</v>
      </c>
      <c r="AK10" s="12">
        <f t="shared" si="21"/>
        <v>0</v>
      </c>
      <c r="AL10" s="12" t="str">
        <f t="shared" si="22"/>
        <v/>
      </c>
    </row>
    <row r="11" spans="1:38" x14ac:dyDescent="0.3">
      <c r="A11" s="6"/>
      <c r="B11" s="6"/>
      <c r="C11" s="6"/>
      <c r="D11" s="6"/>
      <c r="E11" s="6"/>
      <c r="F11" s="6"/>
      <c r="G11" s="6"/>
      <c r="H11" s="11"/>
      <c r="I11" s="6"/>
      <c r="J11" s="6"/>
      <c r="K11" s="6"/>
      <c r="L11" s="6"/>
      <c r="N11" s="12">
        <f t="shared" si="0"/>
        <v>0</v>
      </c>
      <c r="O11" s="12" t="str">
        <f t="shared" si="1"/>
        <v/>
      </c>
      <c r="P11" s="12">
        <f t="shared" si="2"/>
        <v>1</v>
      </c>
      <c r="Q11" s="13" t="str">
        <f t="shared" si="3"/>
        <v/>
      </c>
      <c r="R11" s="12">
        <f t="shared" si="4"/>
        <v>0</v>
      </c>
      <c r="S11" s="12">
        <f t="shared" si="5"/>
        <v>0</v>
      </c>
      <c r="T11" s="12">
        <f t="shared" si="6"/>
        <v>3</v>
      </c>
      <c r="U11" s="12">
        <f t="shared" si="7"/>
        <v>1</v>
      </c>
      <c r="V11" s="12" t="str">
        <f t="shared" si="8"/>
        <v>coauthor</v>
      </c>
      <c r="W11" s="12">
        <f t="shared" si="9"/>
        <v>0.7</v>
      </c>
      <c r="X11" s="12" t="str">
        <f t="shared" si="10"/>
        <v/>
      </c>
      <c r="Y11" s="12">
        <f t="shared" si="11"/>
        <v>0</v>
      </c>
      <c r="Z11" s="12">
        <f t="shared" si="12"/>
        <v>0</v>
      </c>
      <c r="AA11" s="12" t="str">
        <f t="shared" si="13"/>
        <v/>
      </c>
      <c r="AB11" s="12" t="str">
        <f t="shared" si="14"/>
        <v/>
      </c>
      <c r="AC11" s="12">
        <f>IF(AB11="",1,IF(AND(SUMPRODUCT((AB$5:AB$44=AB11)*(Z$5:Z$44&gt;Z11))=0,SUMPRODUCT((AB$5:AB10=AB11)*(Z$5:Z10=Z11))=0),1,0))</f>
        <v>1</v>
      </c>
      <c r="AD11" s="12">
        <f t="shared" si="15"/>
        <v>0</v>
      </c>
      <c r="AE11" s="12">
        <f t="shared" si="16"/>
        <v>0</v>
      </c>
      <c r="AF11" s="12">
        <f t="shared" si="17"/>
        <v>0</v>
      </c>
      <c r="AG11" s="12">
        <f t="shared" si="18"/>
        <v>0</v>
      </c>
      <c r="AH11" s="12">
        <f t="shared" si="19"/>
        <v>0</v>
      </c>
      <c r="AI11" s="12">
        <f t="shared" si="20"/>
        <v>0</v>
      </c>
      <c r="AJ11" s="12">
        <f>IF(AE11=0,0,IF(X11="article",1,IF(X11="book",2,IF(AND(X11="chapter",SUM(AI$4:AI10)=0),1,0))))</f>
        <v>0</v>
      </c>
      <c r="AK11" s="12">
        <f t="shared" si="21"/>
        <v>0</v>
      </c>
      <c r="AL11" s="12" t="str">
        <f t="shared" si="22"/>
        <v/>
      </c>
    </row>
    <row r="12" spans="1:38" x14ac:dyDescent="0.3">
      <c r="A12" s="6"/>
      <c r="B12" s="6"/>
      <c r="C12" s="6"/>
      <c r="D12" s="6"/>
      <c r="E12" s="6"/>
      <c r="F12" s="6"/>
      <c r="G12" s="6"/>
      <c r="H12" s="11"/>
      <c r="I12" s="6"/>
      <c r="J12" s="6"/>
      <c r="K12" s="6"/>
      <c r="L12" s="6"/>
      <c r="N12" s="12">
        <f t="shared" si="0"/>
        <v>0</v>
      </c>
      <c r="O12" s="12" t="str">
        <f t="shared" si="1"/>
        <v/>
      </c>
      <c r="P12" s="12">
        <f t="shared" si="2"/>
        <v>1</v>
      </c>
      <c r="Q12" s="13" t="str">
        <f t="shared" si="3"/>
        <v/>
      </c>
      <c r="R12" s="12">
        <f t="shared" si="4"/>
        <v>0</v>
      </c>
      <c r="S12" s="12">
        <f t="shared" si="5"/>
        <v>0</v>
      </c>
      <c r="T12" s="12">
        <f t="shared" si="6"/>
        <v>3</v>
      </c>
      <c r="U12" s="12">
        <f t="shared" si="7"/>
        <v>1</v>
      </c>
      <c r="V12" s="12" t="str">
        <f t="shared" si="8"/>
        <v>coauthor</v>
      </c>
      <c r="W12" s="12">
        <f t="shared" si="9"/>
        <v>0.7</v>
      </c>
      <c r="X12" s="12" t="str">
        <f t="shared" si="10"/>
        <v/>
      </c>
      <c r="Y12" s="12">
        <f t="shared" si="11"/>
        <v>0</v>
      </c>
      <c r="Z12" s="12">
        <f t="shared" si="12"/>
        <v>0</v>
      </c>
      <c r="AA12" s="12" t="str">
        <f t="shared" si="13"/>
        <v/>
      </c>
      <c r="AB12" s="12" t="str">
        <f t="shared" si="14"/>
        <v/>
      </c>
      <c r="AC12" s="12">
        <f>IF(AB12="",1,IF(AND(SUMPRODUCT((AB$5:AB$44=AB12)*(Z$5:Z$44&gt;Z12))=0,SUMPRODUCT((AB$5:AB11=AB12)*(Z$5:Z11=Z12))=0),1,0))</f>
        <v>1</v>
      </c>
      <c r="AD12" s="12">
        <f t="shared" si="15"/>
        <v>0</v>
      </c>
      <c r="AE12" s="12">
        <f t="shared" si="16"/>
        <v>0</v>
      </c>
      <c r="AF12" s="12">
        <f t="shared" si="17"/>
        <v>0</v>
      </c>
      <c r="AG12" s="12">
        <f t="shared" si="18"/>
        <v>0</v>
      </c>
      <c r="AH12" s="12">
        <f t="shared" si="19"/>
        <v>0</v>
      </c>
      <c r="AI12" s="12">
        <f t="shared" si="20"/>
        <v>0</v>
      </c>
      <c r="AJ12" s="12">
        <f>IF(AE12=0,0,IF(X12="article",1,IF(X12="book",2,IF(AND(X12="chapter",SUM(AI$4:AI11)=0),1,0))))</f>
        <v>0</v>
      </c>
      <c r="AK12" s="12">
        <f t="shared" si="21"/>
        <v>0</v>
      </c>
      <c r="AL12" s="12" t="str">
        <f t="shared" si="22"/>
        <v/>
      </c>
    </row>
    <row r="13" spans="1:38" x14ac:dyDescent="0.3">
      <c r="A13" s="6"/>
      <c r="B13" s="6"/>
      <c r="C13" s="6"/>
      <c r="D13" s="6"/>
      <c r="E13" s="6"/>
      <c r="F13" s="6"/>
      <c r="G13" s="6"/>
      <c r="H13" s="11"/>
      <c r="I13" s="6"/>
      <c r="J13" s="6"/>
      <c r="K13" s="6"/>
      <c r="L13" s="6"/>
      <c r="N13" s="12">
        <f t="shared" si="0"/>
        <v>0</v>
      </c>
      <c r="O13" s="12" t="str">
        <f t="shared" si="1"/>
        <v/>
      </c>
      <c r="P13" s="12">
        <f t="shared" si="2"/>
        <v>1</v>
      </c>
      <c r="Q13" s="13" t="str">
        <f t="shared" si="3"/>
        <v/>
      </c>
      <c r="R13" s="12">
        <f t="shared" si="4"/>
        <v>0</v>
      </c>
      <c r="S13" s="12">
        <f t="shared" si="5"/>
        <v>0</v>
      </c>
      <c r="T13" s="12">
        <f t="shared" si="6"/>
        <v>3</v>
      </c>
      <c r="U13" s="12">
        <f t="shared" si="7"/>
        <v>1</v>
      </c>
      <c r="V13" s="12" t="str">
        <f t="shared" si="8"/>
        <v>coauthor</v>
      </c>
      <c r="W13" s="12">
        <f t="shared" si="9"/>
        <v>0.7</v>
      </c>
      <c r="X13" s="12" t="str">
        <f t="shared" si="10"/>
        <v/>
      </c>
      <c r="Y13" s="12">
        <f t="shared" si="11"/>
        <v>0</v>
      </c>
      <c r="Z13" s="12">
        <f t="shared" si="12"/>
        <v>0</v>
      </c>
      <c r="AA13" s="12" t="str">
        <f t="shared" si="13"/>
        <v/>
      </c>
      <c r="AB13" s="12" t="str">
        <f t="shared" si="14"/>
        <v/>
      </c>
      <c r="AC13" s="12">
        <f>IF(AB13="",1,IF(AND(SUMPRODUCT((AB$5:AB$44=AB13)*(Z$5:Z$44&gt;Z13))=0,SUMPRODUCT((AB$5:AB12=AB13)*(Z$5:Z12=Z13))=0),1,0))</f>
        <v>1</v>
      </c>
      <c r="AD13" s="12">
        <f t="shared" si="15"/>
        <v>0</v>
      </c>
      <c r="AE13" s="12">
        <f t="shared" si="16"/>
        <v>0</v>
      </c>
      <c r="AF13" s="12">
        <f t="shared" si="17"/>
        <v>0</v>
      </c>
      <c r="AG13" s="12">
        <f t="shared" si="18"/>
        <v>0</v>
      </c>
      <c r="AH13" s="12">
        <f t="shared" si="19"/>
        <v>0</v>
      </c>
      <c r="AI13" s="12">
        <f t="shared" si="20"/>
        <v>0</v>
      </c>
      <c r="AJ13" s="12">
        <f>IF(AE13=0,0,IF(X13="article",1,IF(X13="book",2,IF(AND(X13="chapter",SUM(AI$4:AI12)=0),1,0))))</f>
        <v>0</v>
      </c>
      <c r="AK13" s="12">
        <f t="shared" si="21"/>
        <v>0</v>
      </c>
      <c r="AL13" s="12" t="str">
        <f t="shared" si="22"/>
        <v/>
      </c>
    </row>
    <row r="14" spans="1:38" x14ac:dyDescent="0.3">
      <c r="A14" s="6"/>
      <c r="B14" s="6"/>
      <c r="C14" s="6"/>
      <c r="D14" s="6"/>
      <c r="E14" s="6"/>
      <c r="F14" s="6"/>
      <c r="G14" s="6"/>
      <c r="H14" s="11"/>
      <c r="I14" s="6"/>
      <c r="J14" s="6"/>
      <c r="K14" s="6"/>
      <c r="L14" s="6"/>
      <c r="N14" s="12">
        <f t="shared" si="0"/>
        <v>0</v>
      </c>
      <c r="O14" s="12" t="str">
        <f t="shared" si="1"/>
        <v/>
      </c>
      <c r="P14" s="12">
        <f t="shared" si="2"/>
        <v>1</v>
      </c>
      <c r="Q14" s="13" t="str">
        <f t="shared" si="3"/>
        <v/>
      </c>
      <c r="R14" s="12">
        <f t="shared" si="4"/>
        <v>0</v>
      </c>
      <c r="S14" s="12">
        <f t="shared" si="5"/>
        <v>0</v>
      </c>
      <c r="T14" s="12">
        <f t="shared" si="6"/>
        <v>3</v>
      </c>
      <c r="U14" s="12">
        <f t="shared" si="7"/>
        <v>1</v>
      </c>
      <c r="V14" s="12" t="str">
        <f t="shared" si="8"/>
        <v>coauthor</v>
      </c>
      <c r="W14" s="12">
        <f t="shared" si="9"/>
        <v>0.7</v>
      </c>
      <c r="X14" s="12" t="str">
        <f t="shared" si="10"/>
        <v/>
      </c>
      <c r="Y14" s="12">
        <f t="shared" si="11"/>
        <v>0</v>
      </c>
      <c r="Z14" s="12">
        <f t="shared" si="12"/>
        <v>0</v>
      </c>
      <c r="AA14" s="12" t="str">
        <f t="shared" si="13"/>
        <v/>
      </c>
      <c r="AB14" s="12" t="str">
        <f t="shared" si="14"/>
        <v/>
      </c>
      <c r="AC14" s="12">
        <f>IF(AB14="",1,IF(AND(SUMPRODUCT((AB$5:AB$44=AB14)*(Z$5:Z$44&gt;Z14))=0,SUMPRODUCT((AB$5:AB13=AB14)*(Z$5:Z13=Z14))=0),1,0))</f>
        <v>1</v>
      </c>
      <c r="AD14" s="12">
        <f t="shared" si="15"/>
        <v>0</v>
      </c>
      <c r="AE14" s="12">
        <f t="shared" si="16"/>
        <v>0</v>
      </c>
      <c r="AF14" s="12">
        <f t="shared" si="17"/>
        <v>0</v>
      </c>
      <c r="AG14" s="12">
        <f t="shared" si="18"/>
        <v>0</v>
      </c>
      <c r="AH14" s="12">
        <f t="shared" si="19"/>
        <v>0</v>
      </c>
      <c r="AI14" s="12">
        <f t="shared" si="20"/>
        <v>0</v>
      </c>
      <c r="AJ14" s="12">
        <f>IF(AE14=0,0,IF(X14="article",1,IF(X14="book",2,IF(AND(X14="chapter",SUM(AI$4:AI13)=0),1,0))))</f>
        <v>0</v>
      </c>
      <c r="AK14" s="12">
        <f t="shared" si="21"/>
        <v>0</v>
      </c>
      <c r="AL14" s="12" t="str">
        <f t="shared" si="22"/>
        <v/>
      </c>
    </row>
    <row r="15" spans="1:38" x14ac:dyDescent="0.3">
      <c r="A15" s="6"/>
      <c r="B15" s="6"/>
      <c r="C15" s="6"/>
      <c r="D15" s="6"/>
      <c r="E15" s="6"/>
      <c r="F15" s="6"/>
      <c r="G15" s="6"/>
      <c r="H15" s="11"/>
      <c r="I15" s="6"/>
      <c r="J15" s="6"/>
      <c r="K15" s="6"/>
      <c r="L15" s="6"/>
      <c r="N15" s="12">
        <f t="shared" si="0"/>
        <v>0</v>
      </c>
      <c r="O15" s="12" t="str">
        <f t="shared" si="1"/>
        <v/>
      </c>
      <c r="P15" s="12">
        <f t="shared" si="2"/>
        <v>1</v>
      </c>
      <c r="Q15" s="13" t="str">
        <f t="shared" si="3"/>
        <v/>
      </c>
      <c r="R15" s="12">
        <f t="shared" si="4"/>
        <v>0</v>
      </c>
      <c r="S15" s="12">
        <f t="shared" si="5"/>
        <v>0</v>
      </c>
      <c r="T15" s="12">
        <f t="shared" si="6"/>
        <v>3</v>
      </c>
      <c r="U15" s="12">
        <f t="shared" si="7"/>
        <v>1</v>
      </c>
      <c r="V15" s="12" t="str">
        <f t="shared" si="8"/>
        <v>coauthor</v>
      </c>
      <c r="W15" s="12">
        <f t="shared" si="9"/>
        <v>0.7</v>
      </c>
      <c r="X15" s="12" t="str">
        <f t="shared" si="10"/>
        <v/>
      </c>
      <c r="Y15" s="12">
        <f t="shared" si="11"/>
        <v>0</v>
      </c>
      <c r="Z15" s="12">
        <f t="shared" si="12"/>
        <v>0</v>
      </c>
      <c r="AA15" s="12" t="str">
        <f t="shared" si="13"/>
        <v/>
      </c>
      <c r="AB15" s="12" t="str">
        <f t="shared" si="14"/>
        <v/>
      </c>
      <c r="AC15" s="12">
        <f>IF(AB15="",1,IF(AND(SUMPRODUCT((AB$5:AB$44=AB15)*(Z$5:Z$44&gt;Z15))=0,SUMPRODUCT((AB$5:AB14=AB15)*(Z$5:Z14=Z15))=0),1,0))</f>
        <v>1</v>
      </c>
      <c r="AD15" s="12">
        <f t="shared" si="15"/>
        <v>0</v>
      </c>
      <c r="AE15" s="12">
        <f t="shared" si="16"/>
        <v>0</v>
      </c>
      <c r="AF15" s="12">
        <f t="shared" si="17"/>
        <v>0</v>
      </c>
      <c r="AG15" s="12">
        <f t="shared" si="18"/>
        <v>0</v>
      </c>
      <c r="AH15" s="12">
        <f t="shared" si="19"/>
        <v>0</v>
      </c>
      <c r="AI15" s="12">
        <f t="shared" si="20"/>
        <v>0</v>
      </c>
      <c r="AJ15" s="12">
        <f>IF(AE15=0,0,IF(X15="article",1,IF(X15="book",2,IF(AND(X15="chapter",SUM(AI$4:AI14)=0),1,0))))</f>
        <v>0</v>
      </c>
      <c r="AK15" s="12">
        <f t="shared" si="21"/>
        <v>0</v>
      </c>
      <c r="AL15" s="12" t="str">
        <f t="shared" si="22"/>
        <v/>
      </c>
    </row>
    <row r="16" spans="1:38" x14ac:dyDescent="0.3">
      <c r="A16" s="6"/>
      <c r="B16" s="6"/>
      <c r="C16" s="6"/>
      <c r="D16" s="6"/>
      <c r="E16" s="6"/>
      <c r="F16" s="6"/>
      <c r="G16" s="6"/>
      <c r="H16" s="11"/>
      <c r="I16" s="6"/>
      <c r="J16" s="6"/>
      <c r="K16" s="6"/>
      <c r="L16" s="6"/>
      <c r="N16" s="12">
        <f t="shared" si="0"/>
        <v>0</v>
      </c>
      <c r="O16" s="12" t="str">
        <f t="shared" si="1"/>
        <v/>
      </c>
      <c r="P16" s="12">
        <f t="shared" si="2"/>
        <v>1</v>
      </c>
      <c r="Q16" s="13" t="str">
        <f t="shared" si="3"/>
        <v/>
      </c>
      <c r="R16" s="12">
        <f t="shared" si="4"/>
        <v>0</v>
      </c>
      <c r="S16" s="12">
        <f t="shared" si="5"/>
        <v>0</v>
      </c>
      <c r="T16" s="12">
        <f t="shared" si="6"/>
        <v>3</v>
      </c>
      <c r="U16" s="12">
        <f t="shared" si="7"/>
        <v>1</v>
      </c>
      <c r="V16" s="12" t="str">
        <f t="shared" si="8"/>
        <v>coauthor</v>
      </c>
      <c r="W16" s="12">
        <f t="shared" si="9"/>
        <v>0.7</v>
      </c>
      <c r="X16" s="12" t="str">
        <f t="shared" si="10"/>
        <v/>
      </c>
      <c r="Y16" s="12">
        <f t="shared" si="11"/>
        <v>0</v>
      </c>
      <c r="Z16" s="12">
        <f t="shared" si="12"/>
        <v>0</v>
      </c>
      <c r="AA16" s="12" t="str">
        <f t="shared" si="13"/>
        <v/>
      </c>
      <c r="AB16" s="12" t="str">
        <f t="shared" si="14"/>
        <v/>
      </c>
      <c r="AC16" s="12">
        <f>IF(AB16="",1,IF(AND(SUMPRODUCT((AB$5:AB$44=AB16)*(Z$5:Z$44&gt;Z16))=0,SUMPRODUCT((AB$5:AB15=AB16)*(Z$5:Z15=Z16))=0),1,0))</f>
        <v>1</v>
      </c>
      <c r="AD16" s="12">
        <f t="shared" si="15"/>
        <v>0</v>
      </c>
      <c r="AE16" s="12">
        <f t="shared" si="16"/>
        <v>0</v>
      </c>
      <c r="AF16" s="12">
        <f t="shared" si="17"/>
        <v>0</v>
      </c>
      <c r="AG16" s="12">
        <f t="shared" si="18"/>
        <v>0</v>
      </c>
      <c r="AH16" s="12">
        <f t="shared" si="19"/>
        <v>0</v>
      </c>
      <c r="AI16" s="12">
        <f t="shared" si="20"/>
        <v>0</v>
      </c>
      <c r="AJ16" s="12">
        <f>IF(AE16=0,0,IF(X16="article",1,IF(X16="book",2,IF(AND(X16="chapter",SUM(AI$4:AI15)=0),1,0))))</f>
        <v>0</v>
      </c>
      <c r="AK16" s="12">
        <f t="shared" si="21"/>
        <v>0</v>
      </c>
      <c r="AL16" s="12" t="str">
        <f t="shared" si="22"/>
        <v/>
      </c>
    </row>
    <row r="17" spans="1:38" x14ac:dyDescent="0.3">
      <c r="A17" s="6"/>
      <c r="B17" s="6"/>
      <c r="C17" s="6"/>
      <c r="D17" s="6"/>
      <c r="E17" s="6"/>
      <c r="F17" s="6"/>
      <c r="G17" s="6"/>
      <c r="H17" s="11"/>
      <c r="I17" s="6"/>
      <c r="J17" s="6"/>
      <c r="K17" s="6"/>
      <c r="L17" s="6"/>
      <c r="N17" s="12">
        <f t="shared" si="0"/>
        <v>0</v>
      </c>
      <c r="O17" s="12" t="str">
        <f t="shared" si="1"/>
        <v/>
      </c>
      <c r="P17" s="12">
        <f t="shared" si="2"/>
        <v>1</v>
      </c>
      <c r="Q17" s="13" t="str">
        <f t="shared" si="3"/>
        <v/>
      </c>
      <c r="R17" s="12">
        <f t="shared" si="4"/>
        <v>0</v>
      </c>
      <c r="S17" s="12">
        <f t="shared" si="5"/>
        <v>0</v>
      </c>
      <c r="T17" s="12">
        <f t="shared" si="6"/>
        <v>3</v>
      </c>
      <c r="U17" s="12">
        <f t="shared" si="7"/>
        <v>1</v>
      </c>
      <c r="V17" s="12" t="str">
        <f t="shared" si="8"/>
        <v>coauthor</v>
      </c>
      <c r="W17" s="12">
        <f t="shared" si="9"/>
        <v>0.7</v>
      </c>
      <c r="X17" s="12" t="str">
        <f t="shared" si="10"/>
        <v/>
      </c>
      <c r="Y17" s="12">
        <f t="shared" si="11"/>
        <v>0</v>
      </c>
      <c r="Z17" s="12">
        <f t="shared" si="12"/>
        <v>0</v>
      </c>
      <c r="AA17" s="12" t="str">
        <f t="shared" si="13"/>
        <v/>
      </c>
      <c r="AB17" s="12" t="str">
        <f t="shared" si="14"/>
        <v/>
      </c>
      <c r="AC17" s="12">
        <f>IF(AB17="",1,IF(AND(SUMPRODUCT((AB$5:AB$44=AB17)*(Z$5:Z$44&gt;Z17))=0,SUMPRODUCT((AB$5:AB16=AB17)*(Z$5:Z16=Z17))=0),1,0))</f>
        <v>1</v>
      </c>
      <c r="AD17" s="12">
        <f t="shared" si="15"/>
        <v>0</v>
      </c>
      <c r="AE17" s="12">
        <f t="shared" si="16"/>
        <v>0</v>
      </c>
      <c r="AF17" s="12">
        <f t="shared" si="17"/>
        <v>0</v>
      </c>
      <c r="AG17" s="12">
        <f t="shared" si="18"/>
        <v>0</v>
      </c>
      <c r="AH17" s="12">
        <f t="shared" si="19"/>
        <v>0</v>
      </c>
      <c r="AI17" s="12">
        <f t="shared" si="20"/>
        <v>0</v>
      </c>
      <c r="AJ17" s="12">
        <f>IF(AE17=0,0,IF(X17="article",1,IF(X17="book",2,IF(AND(X17="chapter",SUM(AI$4:AI16)=0),1,0))))</f>
        <v>0</v>
      </c>
      <c r="AK17" s="12">
        <f t="shared" si="21"/>
        <v>0</v>
      </c>
      <c r="AL17" s="12" t="str">
        <f t="shared" si="22"/>
        <v/>
      </c>
    </row>
    <row r="18" spans="1:38" x14ac:dyDescent="0.3">
      <c r="A18" s="6"/>
      <c r="B18" s="6"/>
      <c r="C18" s="6"/>
      <c r="D18" s="6"/>
      <c r="E18" s="6"/>
      <c r="F18" s="6"/>
      <c r="G18" s="6"/>
      <c r="H18" s="11"/>
      <c r="I18" s="6"/>
      <c r="J18" s="6"/>
      <c r="K18" s="6"/>
      <c r="L18" s="6"/>
      <c r="N18" s="12">
        <f t="shared" si="0"/>
        <v>0</v>
      </c>
      <c r="O18" s="12" t="str">
        <f t="shared" si="1"/>
        <v/>
      </c>
      <c r="P18" s="12">
        <f t="shared" si="2"/>
        <v>1</v>
      </c>
      <c r="Q18" s="13" t="str">
        <f t="shared" si="3"/>
        <v/>
      </c>
      <c r="R18" s="12">
        <f t="shared" si="4"/>
        <v>0</v>
      </c>
      <c r="S18" s="12">
        <f t="shared" si="5"/>
        <v>0</v>
      </c>
      <c r="T18" s="12">
        <f t="shared" si="6"/>
        <v>3</v>
      </c>
      <c r="U18" s="12">
        <f t="shared" si="7"/>
        <v>1</v>
      </c>
      <c r="V18" s="12" t="str">
        <f t="shared" si="8"/>
        <v>coauthor</v>
      </c>
      <c r="W18" s="12">
        <f t="shared" si="9"/>
        <v>0.7</v>
      </c>
      <c r="X18" s="12" t="str">
        <f t="shared" si="10"/>
        <v/>
      </c>
      <c r="Y18" s="12">
        <f t="shared" si="11"/>
        <v>0</v>
      </c>
      <c r="Z18" s="12">
        <f t="shared" si="12"/>
        <v>0</v>
      </c>
      <c r="AA18" s="12" t="str">
        <f t="shared" si="13"/>
        <v/>
      </c>
      <c r="AB18" s="12" t="str">
        <f t="shared" si="14"/>
        <v/>
      </c>
      <c r="AC18" s="12">
        <f>IF(AB18="",1,IF(AND(SUMPRODUCT((AB$5:AB$44=AB18)*(Z$5:Z$44&gt;Z18))=0,SUMPRODUCT((AB$5:AB17=AB18)*(Z$5:Z17=Z18))=0),1,0))</f>
        <v>1</v>
      </c>
      <c r="AD18" s="12">
        <f t="shared" si="15"/>
        <v>0</v>
      </c>
      <c r="AE18" s="12">
        <f t="shared" si="16"/>
        <v>0</v>
      </c>
      <c r="AF18" s="12">
        <f t="shared" si="17"/>
        <v>0</v>
      </c>
      <c r="AG18" s="12">
        <f t="shared" si="18"/>
        <v>0</v>
      </c>
      <c r="AH18" s="12">
        <f t="shared" si="19"/>
        <v>0</v>
      </c>
      <c r="AI18" s="12">
        <f t="shared" si="20"/>
        <v>0</v>
      </c>
      <c r="AJ18" s="12">
        <f>IF(AE18=0,0,IF(X18="article",1,IF(X18="book",2,IF(AND(X18="chapter",SUM(AI$4:AI17)=0),1,0))))</f>
        <v>0</v>
      </c>
      <c r="AK18" s="12">
        <f t="shared" si="21"/>
        <v>0</v>
      </c>
      <c r="AL18" s="12" t="str">
        <f t="shared" si="22"/>
        <v/>
      </c>
    </row>
    <row r="19" spans="1:38" x14ac:dyDescent="0.3">
      <c r="A19" s="6"/>
      <c r="B19" s="6"/>
      <c r="C19" s="6"/>
      <c r="D19" s="6"/>
      <c r="E19" s="6"/>
      <c r="F19" s="6"/>
      <c r="G19" s="6"/>
      <c r="H19" s="11"/>
      <c r="I19" s="6"/>
      <c r="J19" s="6"/>
      <c r="K19" s="6"/>
      <c r="L19" s="6"/>
      <c r="N19" s="12">
        <f t="shared" si="0"/>
        <v>0</v>
      </c>
      <c r="O19" s="12" t="str">
        <f t="shared" si="1"/>
        <v/>
      </c>
      <c r="P19" s="12">
        <f t="shared" si="2"/>
        <v>1</v>
      </c>
      <c r="Q19" s="13" t="str">
        <f t="shared" si="3"/>
        <v/>
      </c>
      <c r="R19" s="12">
        <f t="shared" si="4"/>
        <v>0</v>
      </c>
      <c r="S19" s="12">
        <f t="shared" si="5"/>
        <v>0</v>
      </c>
      <c r="T19" s="12">
        <f t="shared" si="6"/>
        <v>3</v>
      </c>
      <c r="U19" s="12">
        <f t="shared" si="7"/>
        <v>1</v>
      </c>
      <c r="V19" s="12" t="str">
        <f t="shared" si="8"/>
        <v>coauthor</v>
      </c>
      <c r="W19" s="12">
        <f t="shared" si="9"/>
        <v>0.7</v>
      </c>
      <c r="X19" s="12" t="str">
        <f t="shared" si="10"/>
        <v/>
      </c>
      <c r="Y19" s="12">
        <f t="shared" si="11"/>
        <v>0</v>
      </c>
      <c r="Z19" s="12">
        <f t="shared" si="12"/>
        <v>0</v>
      </c>
      <c r="AA19" s="12" t="str">
        <f t="shared" si="13"/>
        <v/>
      </c>
      <c r="AB19" s="12" t="str">
        <f t="shared" si="14"/>
        <v/>
      </c>
      <c r="AC19" s="12">
        <f>IF(AB19="",1,IF(AND(SUMPRODUCT((AB$5:AB$44=AB19)*(Z$5:Z$44&gt;Z19))=0,SUMPRODUCT((AB$5:AB18=AB19)*(Z$5:Z18=Z19))=0),1,0))</f>
        <v>1</v>
      </c>
      <c r="AD19" s="12">
        <f t="shared" si="15"/>
        <v>0</v>
      </c>
      <c r="AE19" s="12">
        <f t="shared" si="16"/>
        <v>0</v>
      </c>
      <c r="AF19" s="12">
        <f t="shared" si="17"/>
        <v>0</v>
      </c>
      <c r="AG19" s="12">
        <f t="shared" si="18"/>
        <v>0</v>
      </c>
      <c r="AH19" s="12">
        <f t="shared" si="19"/>
        <v>0</v>
      </c>
      <c r="AI19" s="12">
        <f t="shared" si="20"/>
        <v>0</v>
      </c>
      <c r="AJ19" s="12">
        <f>IF(AE19=0,0,IF(X19="article",1,IF(X19="book",2,IF(AND(X19="chapter",SUM(AI$4:AI18)=0),1,0))))</f>
        <v>0</v>
      </c>
      <c r="AK19" s="12">
        <f t="shared" si="21"/>
        <v>0</v>
      </c>
      <c r="AL19" s="12" t="str">
        <f t="shared" si="22"/>
        <v/>
      </c>
    </row>
    <row r="20" spans="1:38" x14ac:dyDescent="0.3">
      <c r="A20" s="6"/>
      <c r="B20" s="6"/>
      <c r="C20" s="6"/>
      <c r="D20" s="6"/>
      <c r="E20" s="6"/>
      <c r="F20" s="6"/>
      <c r="G20" s="6"/>
      <c r="H20" s="11"/>
      <c r="I20" s="6"/>
      <c r="J20" s="6"/>
      <c r="K20" s="6"/>
      <c r="L20" s="6"/>
      <c r="N20" s="12">
        <f t="shared" si="0"/>
        <v>0</v>
      </c>
      <c r="O20" s="12" t="str">
        <f t="shared" si="1"/>
        <v/>
      </c>
      <c r="P20" s="12">
        <f t="shared" si="2"/>
        <v>1</v>
      </c>
      <c r="Q20" s="13" t="str">
        <f t="shared" si="3"/>
        <v/>
      </c>
      <c r="R20" s="12">
        <f t="shared" si="4"/>
        <v>0</v>
      </c>
      <c r="S20" s="12">
        <f t="shared" si="5"/>
        <v>0</v>
      </c>
      <c r="T20" s="12">
        <f t="shared" si="6"/>
        <v>3</v>
      </c>
      <c r="U20" s="12">
        <f t="shared" si="7"/>
        <v>1</v>
      </c>
      <c r="V20" s="12" t="str">
        <f t="shared" si="8"/>
        <v>coauthor</v>
      </c>
      <c r="W20" s="12">
        <f t="shared" si="9"/>
        <v>0.7</v>
      </c>
      <c r="X20" s="12" t="str">
        <f t="shared" si="10"/>
        <v/>
      </c>
      <c r="Y20" s="12">
        <f t="shared" si="11"/>
        <v>0</v>
      </c>
      <c r="Z20" s="12">
        <f t="shared" si="12"/>
        <v>0</v>
      </c>
      <c r="AA20" s="12" t="str">
        <f t="shared" si="13"/>
        <v/>
      </c>
      <c r="AB20" s="12" t="str">
        <f t="shared" si="14"/>
        <v/>
      </c>
      <c r="AC20" s="12">
        <f>IF(AB20="",1,IF(AND(SUMPRODUCT((AB$5:AB$44=AB20)*(Z$5:Z$44&gt;Z20))=0,SUMPRODUCT((AB$5:AB19=AB20)*(Z$5:Z19=Z20))=0),1,0))</f>
        <v>1</v>
      </c>
      <c r="AD20" s="12">
        <f t="shared" si="15"/>
        <v>0</v>
      </c>
      <c r="AE20" s="12">
        <f t="shared" si="16"/>
        <v>0</v>
      </c>
      <c r="AF20" s="12">
        <f t="shared" si="17"/>
        <v>0</v>
      </c>
      <c r="AG20" s="12">
        <f t="shared" si="18"/>
        <v>0</v>
      </c>
      <c r="AH20" s="12">
        <f t="shared" si="19"/>
        <v>0</v>
      </c>
      <c r="AI20" s="12">
        <f t="shared" si="20"/>
        <v>0</v>
      </c>
      <c r="AJ20" s="12">
        <f>IF(AE20=0,0,IF(X20="article",1,IF(X20="book",2,IF(AND(X20="chapter",SUM(AI$4:AI19)=0),1,0))))</f>
        <v>0</v>
      </c>
      <c r="AK20" s="12">
        <f t="shared" si="21"/>
        <v>0</v>
      </c>
      <c r="AL20" s="12" t="str">
        <f t="shared" si="22"/>
        <v/>
      </c>
    </row>
    <row r="21" spans="1:38" x14ac:dyDescent="0.3">
      <c r="A21" s="6"/>
      <c r="B21" s="6"/>
      <c r="C21" s="6"/>
      <c r="D21" s="6"/>
      <c r="E21" s="6"/>
      <c r="F21" s="6"/>
      <c r="G21" s="6"/>
      <c r="H21" s="11"/>
      <c r="I21" s="6"/>
      <c r="J21" s="6"/>
      <c r="K21" s="6"/>
      <c r="L21" s="6"/>
      <c r="N21" s="12">
        <f t="shared" si="0"/>
        <v>0</v>
      </c>
      <c r="O21" s="12" t="str">
        <f t="shared" si="1"/>
        <v/>
      </c>
      <c r="P21" s="12">
        <f t="shared" si="2"/>
        <v>1</v>
      </c>
      <c r="Q21" s="13" t="str">
        <f t="shared" si="3"/>
        <v/>
      </c>
      <c r="R21" s="12">
        <f t="shared" si="4"/>
        <v>0</v>
      </c>
      <c r="S21" s="12">
        <f t="shared" si="5"/>
        <v>0</v>
      </c>
      <c r="T21" s="12">
        <f t="shared" si="6"/>
        <v>3</v>
      </c>
      <c r="U21" s="12">
        <f t="shared" si="7"/>
        <v>1</v>
      </c>
      <c r="V21" s="12" t="str">
        <f t="shared" si="8"/>
        <v>coauthor</v>
      </c>
      <c r="W21" s="12">
        <f t="shared" si="9"/>
        <v>0.7</v>
      </c>
      <c r="X21" s="12" t="str">
        <f t="shared" si="10"/>
        <v/>
      </c>
      <c r="Y21" s="12">
        <f t="shared" si="11"/>
        <v>0</v>
      </c>
      <c r="Z21" s="12">
        <f t="shared" si="12"/>
        <v>0</v>
      </c>
      <c r="AA21" s="12" t="str">
        <f t="shared" si="13"/>
        <v/>
      </c>
      <c r="AB21" s="12" t="str">
        <f t="shared" si="14"/>
        <v/>
      </c>
      <c r="AC21" s="12">
        <f>IF(AB21="",1,IF(AND(SUMPRODUCT((AB$5:AB$44=AB21)*(Z$5:Z$44&gt;Z21))=0,SUMPRODUCT((AB$5:AB20=AB21)*(Z$5:Z20=Z21))=0),1,0))</f>
        <v>1</v>
      </c>
      <c r="AD21" s="12">
        <f t="shared" si="15"/>
        <v>0</v>
      </c>
      <c r="AE21" s="12">
        <f t="shared" si="16"/>
        <v>0</v>
      </c>
      <c r="AF21" s="12">
        <f t="shared" si="17"/>
        <v>0</v>
      </c>
      <c r="AG21" s="12">
        <f t="shared" si="18"/>
        <v>0</v>
      </c>
      <c r="AH21" s="12">
        <f t="shared" si="19"/>
        <v>0</v>
      </c>
      <c r="AI21" s="12">
        <f t="shared" si="20"/>
        <v>0</v>
      </c>
      <c r="AJ21" s="12">
        <f>IF(AE21=0,0,IF(X21="article",1,IF(X21="book",2,IF(AND(X21="chapter",SUM(AI$4:AI20)=0),1,0))))</f>
        <v>0</v>
      </c>
      <c r="AK21" s="12">
        <f t="shared" si="21"/>
        <v>0</v>
      </c>
      <c r="AL21" s="12" t="str">
        <f t="shared" si="22"/>
        <v/>
      </c>
    </row>
    <row r="22" spans="1:38" x14ac:dyDescent="0.3">
      <c r="A22" s="6"/>
      <c r="B22" s="6"/>
      <c r="C22" s="6"/>
      <c r="D22" s="6"/>
      <c r="E22" s="6"/>
      <c r="F22" s="6"/>
      <c r="G22" s="6"/>
      <c r="H22" s="11"/>
      <c r="I22" s="6"/>
      <c r="J22" s="6"/>
      <c r="K22" s="6"/>
      <c r="L22" s="6"/>
      <c r="N22" s="12">
        <f t="shared" si="0"/>
        <v>0</v>
      </c>
      <c r="O22" s="12" t="str">
        <f t="shared" si="1"/>
        <v/>
      </c>
      <c r="P22" s="12">
        <f t="shared" si="2"/>
        <v>1</v>
      </c>
      <c r="Q22" s="13" t="str">
        <f t="shared" si="3"/>
        <v/>
      </c>
      <c r="R22" s="12">
        <f t="shared" si="4"/>
        <v>0</v>
      </c>
      <c r="S22" s="12">
        <f t="shared" si="5"/>
        <v>0</v>
      </c>
      <c r="T22" s="12">
        <f t="shared" si="6"/>
        <v>3</v>
      </c>
      <c r="U22" s="12">
        <f t="shared" si="7"/>
        <v>1</v>
      </c>
      <c r="V22" s="12" t="str">
        <f t="shared" si="8"/>
        <v>coauthor</v>
      </c>
      <c r="W22" s="12">
        <f t="shared" si="9"/>
        <v>0.7</v>
      </c>
      <c r="X22" s="12" t="str">
        <f t="shared" si="10"/>
        <v/>
      </c>
      <c r="Y22" s="12">
        <f t="shared" si="11"/>
        <v>0</v>
      </c>
      <c r="Z22" s="12">
        <f t="shared" si="12"/>
        <v>0</v>
      </c>
      <c r="AA22" s="12" t="str">
        <f t="shared" si="13"/>
        <v/>
      </c>
      <c r="AB22" s="12" t="str">
        <f t="shared" si="14"/>
        <v/>
      </c>
      <c r="AC22" s="12">
        <f>IF(AB22="",1,IF(AND(SUMPRODUCT((AB$5:AB$44=AB22)*(Z$5:Z$44&gt;Z22))=0,SUMPRODUCT((AB$5:AB21=AB22)*(Z$5:Z21=Z22))=0),1,0))</f>
        <v>1</v>
      </c>
      <c r="AD22" s="12">
        <f t="shared" si="15"/>
        <v>0</v>
      </c>
      <c r="AE22" s="12">
        <f t="shared" si="16"/>
        <v>0</v>
      </c>
      <c r="AF22" s="12">
        <f t="shared" si="17"/>
        <v>0</v>
      </c>
      <c r="AG22" s="12">
        <f t="shared" si="18"/>
        <v>0</v>
      </c>
      <c r="AH22" s="12">
        <f t="shared" si="19"/>
        <v>0</v>
      </c>
      <c r="AI22" s="12">
        <f t="shared" si="20"/>
        <v>0</v>
      </c>
      <c r="AJ22" s="12">
        <f>IF(AE22=0,0,IF(X22="article",1,IF(X22="book",2,IF(AND(X22="chapter",SUM(AI$4:AI21)=0),1,0))))</f>
        <v>0</v>
      </c>
      <c r="AK22" s="12">
        <f t="shared" si="21"/>
        <v>0</v>
      </c>
      <c r="AL22" s="12" t="str">
        <f t="shared" si="22"/>
        <v/>
      </c>
    </row>
    <row r="23" spans="1:38" x14ac:dyDescent="0.3">
      <c r="A23" s="6"/>
      <c r="B23" s="6"/>
      <c r="C23" s="6"/>
      <c r="D23" s="6"/>
      <c r="E23" s="6"/>
      <c r="F23" s="6"/>
      <c r="G23" s="6"/>
      <c r="H23" s="11"/>
      <c r="I23" s="6"/>
      <c r="J23" s="6"/>
      <c r="K23" s="6"/>
      <c r="L23" s="6"/>
      <c r="N23" s="12">
        <f t="shared" si="0"/>
        <v>0</v>
      </c>
      <c r="O23" s="12" t="str">
        <f t="shared" si="1"/>
        <v/>
      </c>
      <c r="P23" s="12">
        <f t="shared" si="2"/>
        <v>1</v>
      </c>
      <c r="Q23" s="13" t="str">
        <f t="shared" si="3"/>
        <v/>
      </c>
      <c r="R23" s="12">
        <f t="shared" si="4"/>
        <v>0</v>
      </c>
      <c r="S23" s="12">
        <f t="shared" si="5"/>
        <v>0</v>
      </c>
      <c r="T23" s="12">
        <f t="shared" si="6"/>
        <v>3</v>
      </c>
      <c r="U23" s="12">
        <f t="shared" si="7"/>
        <v>1</v>
      </c>
      <c r="V23" s="12" t="str">
        <f t="shared" si="8"/>
        <v>coauthor</v>
      </c>
      <c r="W23" s="12">
        <f t="shared" si="9"/>
        <v>0.7</v>
      </c>
      <c r="X23" s="12" t="str">
        <f t="shared" si="10"/>
        <v/>
      </c>
      <c r="Y23" s="12">
        <f t="shared" si="11"/>
        <v>0</v>
      </c>
      <c r="Z23" s="12">
        <f t="shared" si="12"/>
        <v>0</v>
      </c>
      <c r="AA23" s="12" t="str">
        <f t="shared" si="13"/>
        <v/>
      </c>
      <c r="AB23" s="12" t="str">
        <f t="shared" si="14"/>
        <v/>
      </c>
      <c r="AC23" s="12">
        <f>IF(AB23="",1,IF(AND(SUMPRODUCT((AB$5:AB$44=AB23)*(Z$5:Z$44&gt;Z23))=0,SUMPRODUCT((AB$5:AB22=AB23)*(Z$5:Z22=Z23))=0),1,0))</f>
        <v>1</v>
      </c>
      <c r="AD23" s="12">
        <f t="shared" si="15"/>
        <v>0</v>
      </c>
      <c r="AE23" s="12">
        <f t="shared" si="16"/>
        <v>0</v>
      </c>
      <c r="AF23" s="12">
        <f t="shared" si="17"/>
        <v>0</v>
      </c>
      <c r="AG23" s="12">
        <f t="shared" si="18"/>
        <v>0</v>
      </c>
      <c r="AH23" s="12">
        <f t="shared" si="19"/>
        <v>0</v>
      </c>
      <c r="AI23" s="12">
        <f t="shared" si="20"/>
        <v>0</v>
      </c>
      <c r="AJ23" s="12">
        <f>IF(AE23=0,0,IF(X23="article",1,IF(X23="book",2,IF(AND(X23="chapter",SUM(AI$4:AI22)=0),1,0))))</f>
        <v>0</v>
      </c>
      <c r="AK23" s="12">
        <f t="shared" si="21"/>
        <v>0</v>
      </c>
      <c r="AL23" s="12" t="str">
        <f t="shared" si="22"/>
        <v/>
      </c>
    </row>
    <row r="24" spans="1:38" x14ac:dyDescent="0.3">
      <c r="A24" s="6"/>
      <c r="B24" s="6"/>
      <c r="C24" s="6"/>
      <c r="D24" s="6"/>
      <c r="E24" s="6"/>
      <c r="F24" s="6"/>
      <c r="G24" s="6"/>
      <c r="H24" s="11"/>
      <c r="I24" s="6"/>
      <c r="J24" s="6"/>
      <c r="K24" s="6"/>
      <c r="L24" s="6"/>
      <c r="N24" s="12">
        <f t="shared" si="0"/>
        <v>0</v>
      </c>
      <c r="O24" s="12" t="str">
        <f t="shared" si="1"/>
        <v/>
      </c>
      <c r="P24" s="12">
        <f t="shared" si="2"/>
        <v>1</v>
      </c>
      <c r="Q24" s="13" t="str">
        <f t="shared" si="3"/>
        <v/>
      </c>
      <c r="R24" s="12">
        <f t="shared" si="4"/>
        <v>0</v>
      </c>
      <c r="S24" s="12">
        <f t="shared" si="5"/>
        <v>0</v>
      </c>
      <c r="T24" s="12">
        <f t="shared" si="6"/>
        <v>3</v>
      </c>
      <c r="U24" s="12">
        <f t="shared" si="7"/>
        <v>1</v>
      </c>
      <c r="V24" s="12" t="str">
        <f t="shared" si="8"/>
        <v>coauthor</v>
      </c>
      <c r="W24" s="12">
        <f t="shared" si="9"/>
        <v>0.7</v>
      </c>
      <c r="X24" s="12" t="str">
        <f t="shared" si="10"/>
        <v/>
      </c>
      <c r="Y24" s="12">
        <f t="shared" si="11"/>
        <v>0</v>
      </c>
      <c r="Z24" s="12">
        <f t="shared" si="12"/>
        <v>0</v>
      </c>
      <c r="AA24" s="12" t="str">
        <f t="shared" si="13"/>
        <v/>
      </c>
      <c r="AB24" s="12" t="str">
        <f t="shared" si="14"/>
        <v/>
      </c>
      <c r="AC24" s="12">
        <f>IF(AB24="",1,IF(AND(SUMPRODUCT((AB$5:AB$44=AB24)*(Z$5:Z$44&gt;Z24))=0,SUMPRODUCT((AB$5:AB23=AB24)*(Z$5:Z23=Z24))=0),1,0))</f>
        <v>1</v>
      </c>
      <c r="AD24" s="12">
        <f t="shared" si="15"/>
        <v>0</v>
      </c>
      <c r="AE24" s="12">
        <f t="shared" si="16"/>
        <v>0</v>
      </c>
      <c r="AF24" s="12">
        <f t="shared" si="17"/>
        <v>0</v>
      </c>
      <c r="AG24" s="12">
        <f t="shared" si="18"/>
        <v>0</v>
      </c>
      <c r="AH24" s="12">
        <f t="shared" si="19"/>
        <v>0</v>
      </c>
      <c r="AI24" s="12">
        <f t="shared" si="20"/>
        <v>0</v>
      </c>
      <c r="AJ24" s="12">
        <f>IF(AE24=0,0,IF(X24="article",1,IF(X24="book",2,IF(AND(X24="chapter",SUM(AI$4:AI23)=0),1,0))))</f>
        <v>0</v>
      </c>
      <c r="AK24" s="12">
        <f t="shared" si="21"/>
        <v>0</v>
      </c>
      <c r="AL24" s="12" t="str">
        <f t="shared" si="22"/>
        <v/>
      </c>
    </row>
    <row r="25" spans="1:38" x14ac:dyDescent="0.3">
      <c r="A25" s="6"/>
      <c r="B25" s="6"/>
      <c r="C25" s="6"/>
      <c r="D25" s="6"/>
      <c r="E25" s="6"/>
      <c r="F25" s="6"/>
      <c r="G25" s="6"/>
      <c r="H25" s="11"/>
      <c r="I25" s="6"/>
      <c r="J25" s="6"/>
      <c r="K25" s="6"/>
      <c r="L25" s="6"/>
      <c r="N25" s="12">
        <f t="shared" si="0"/>
        <v>0</v>
      </c>
      <c r="O25" s="12" t="str">
        <f t="shared" si="1"/>
        <v/>
      </c>
      <c r="P25" s="12">
        <f t="shared" si="2"/>
        <v>1</v>
      </c>
      <c r="Q25" s="13" t="str">
        <f t="shared" si="3"/>
        <v/>
      </c>
      <c r="R25" s="12">
        <f t="shared" si="4"/>
        <v>0</v>
      </c>
      <c r="S25" s="12">
        <f t="shared" si="5"/>
        <v>0</v>
      </c>
      <c r="T25" s="12">
        <f t="shared" si="6"/>
        <v>3</v>
      </c>
      <c r="U25" s="12">
        <f t="shared" si="7"/>
        <v>1</v>
      </c>
      <c r="V25" s="12" t="str">
        <f t="shared" si="8"/>
        <v>coauthor</v>
      </c>
      <c r="W25" s="12">
        <f t="shared" si="9"/>
        <v>0.7</v>
      </c>
      <c r="X25" s="12" t="str">
        <f t="shared" si="10"/>
        <v/>
      </c>
      <c r="Y25" s="12">
        <f t="shared" si="11"/>
        <v>0</v>
      </c>
      <c r="Z25" s="12">
        <f t="shared" si="12"/>
        <v>0</v>
      </c>
      <c r="AA25" s="12" t="str">
        <f t="shared" si="13"/>
        <v/>
      </c>
      <c r="AB25" s="12" t="str">
        <f t="shared" si="14"/>
        <v/>
      </c>
      <c r="AC25" s="12">
        <f>IF(AB25="",1,IF(AND(SUMPRODUCT((AB$5:AB$44=AB25)*(Z$5:Z$44&gt;Z25))=0,SUMPRODUCT((AB$5:AB24=AB25)*(Z$5:Z24=Z25))=0),1,0))</f>
        <v>1</v>
      </c>
      <c r="AD25" s="12">
        <f t="shared" si="15"/>
        <v>0</v>
      </c>
      <c r="AE25" s="12">
        <f t="shared" si="16"/>
        <v>0</v>
      </c>
      <c r="AF25" s="12">
        <f t="shared" si="17"/>
        <v>0</v>
      </c>
      <c r="AG25" s="12">
        <f t="shared" si="18"/>
        <v>0</v>
      </c>
      <c r="AH25" s="12">
        <f t="shared" si="19"/>
        <v>0</v>
      </c>
      <c r="AI25" s="12">
        <f t="shared" si="20"/>
        <v>0</v>
      </c>
      <c r="AJ25" s="12">
        <f>IF(AE25=0,0,IF(X25="article",1,IF(X25="book",2,IF(AND(X25="chapter",SUM(AI$4:AI24)=0),1,0))))</f>
        <v>0</v>
      </c>
      <c r="AK25" s="12">
        <f t="shared" si="21"/>
        <v>0</v>
      </c>
      <c r="AL25" s="12" t="str">
        <f t="shared" si="22"/>
        <v/>
      </c>
    </row>
    <row r="26" spans="1:38" x14ac:dyDescent="0.3">
      <c r="A26" s="6"/>
      <c r="B26" s="6"/>
      <c r="C26" s="6"/>
      <c r="D26" s="6"/>
      <c r="E26" s="6"/>
      <c r="F26" s="6"/>
      <c r="G26" s="6"/>
      <c r="H26" s="11"/>
      <c r="I26" s="6"/>
      <c r="J26" s="6"/>
      <c r="K26" s="6"/>
      <c r="L26" s="6"/>
      <c r="N26" s="12">
        <f t="shared" si="0"/>
        <v>0</v>
      </c>
      <c r="O26" s="12" t="str">
        <f t="shared" si="1"/>
        <v/>
      </c>
      <c r="P26" s="12">
        <f t="shared" si="2"/>
        <v>1</v>
      </c>
      <c r="Q26" s="13" t="str">
        <f t="shared" si="3"/>
        <v/>
      </c>
      <c r="R26" s="12">
        <f t="shared" si="4"/>
        <v>0</v>
      </c>
      <c r="S26" s="12">
        <f t="shared" si="5"/>
        <v>0</v>
      </c>
      <c r="T26" s="12">
        <f t="shared" si="6"/>
        <v>3</v>
      </c>
      <c r="U26" s="12">
        <f t="shared" si="7"/>
        <v>1</v>
      </c>
      <c r="V26" s="12" t="str">
        <f t="shared" si="8"/>
        <v>coauthor</v>
      </c>
      <c r="W26" s="12">
        <f t="shared" si="9"/>
        <v>0.7</v>
      </c>
      <c r="X26" s="12" t="str">
        <f t="shared" si="10"/>
        <v/>
      </c>
      <c r="Y26" s="12">
        <f t="shared" si="11"/>
        <v>0</v>
      </c>
      <c r="Z26" s="12">
        <f t="shared" si="12"/>
        <v>0</v>
      </c>
      <c r="AA26" s="12" t="str">
        <f t="shared" si="13"/>
        <v/>
      </c>
      <c r="AB26" s="12" t="str">
        <f t="shared" si="14"/>
        <v/>
      </c>
      <c r="AC26" s="12">
        <f>IF(AB26="",1,IF(AND(SUMPRODUCT((AB$5:AB$44=AB26)*(Z$5:Z$44&gt;Z26))=0,SUMPRODUCT((AB$5:AB25=AB26)*(Z$5:Z25=Z26))=0),1,0))</f>
        <v>1</v>
      </c>
      <c r="AD26" s="12">
        <f t="shared" si="15"/>
        <v>0</v>
      </c>
      <c r="AE26" s="12">
        <f t="shared" si="16"/>
        <v>0</v>
      </c>
      <c r="AF26" s="12">
        <f t="shared" si="17"/>
        <v>0</v>
      </c>
      <c r="AG26" s="12">
        <f t="shared" si="18"/>
        <v>0</v>
      </c>
      <c r="AH26" s="12">
        <f t="shared" si="19"/>
        <v>0</v>
      </c>
      <c r="AI26" s="12">
        <f t="shared" si="20"/>
        <v>0</v>
      </c>
      <c r="AJ26" s="12">
        <f>IF(AE26=0,0,IF(X26="article",1,IF(X26="book",2,IF(AND(X26="chapter",SUM(AI$4:AI25)=0),1,0))))</f>
        <v>0</v>
      </c>
      <c r="AK26" s="12">
        <f t="shared" si="21"/>
        <v>0</v>
      </c>
      <c r="AL26" s="12" t="str">
        <f t="shared" si="22"/>
        <v/>
      </c>
    </row>
    <row r="27" spans="1:38" x14ac:dyDescent="0.3">
      <c r="A27" s="6"/>
      <c r="B27" s="6"/>
      <c r="C27" s="6"/>
      <c r="D27" s="6"/>
      <c r="E27" s="6"/>
      <c r="F27" s="6"/>
      <c r="G27" s="6"/>
      <c r="H27" s="11"/>
      <c r="I27" s="6"/>
      <c r="J27" s="6"/>
      <c r="K27" s="6"/>
      <c r="L27" s="6"/>
      <c r="N27" s="12">
        <f t="shared" si="0"/>
        <v>0</v>
      </c>
      <c r="O27" s="12" t="str">
        <f t="shared" si="1"/>
        <v/>
      </c>
      <c r="P27" s="12">
        <f t="shared" si="2"/>
        <v>1</v>
      </c>
      <c r="Q27" s="13" t="str">
        <f t="shared" si="3"/>
        <v/>
      </c>
      <c r="R27" s="12">
        <f t="shared" si="4"/>
        <v>0</v>
      </c>
      <c r="S27" s="12">
        <f t="shared" si="5"/>
        <v>0</v>
      </c>
      <c r="T27" s="12">
        <f t="shared" si="6"/>
        <v>3</v>
      </c>
      <c r="U27" s="12">
        <f t="shared" si="7"/>
        <v>1</v>
      </c>
      <c r="V27" s="12" t="str">
        <f t="shared" si="8"/>
        <v>coauthor</v>
      </c>
      <c r="W27" s="12">
        <f t="shared" si="9"/>
        <v>0.7</v>
      </c>
      <c r="X27" s="12" t="str">
        <f t="shared" si="10"/>
        <v/>
      </c>
      <c r="Y27" s="12">
        <f t="shared" si="11"/>
        <v>0</v>
      </c>
      <c r="Z27" s="12">
        <f t="shared" si="12"/>
        <v>0</v>
      </c>
      <c r="AA27" s="12" t="str">
        <f t="shared" si="13"/>
        <v/>
      </c>
      <c r="AB27" s="12" t="str">
        <f t="shared" si="14"/>
        <v/>
      </c>
      <c r="AC27" s="12">
        <f>IF(AB27="",1,IF(AND(SUMPRODUCT((AB$5:AB$44=AB27)*(Z$5:Z$44&gt;Z27))=0,SUMPRODUCT((AB$5:AB26=AB27)*(Z$5:Z26=Z27))=0),1,0))</f>
        <v>1</v>
      </c>
      <c r="AD27" s="12">
        <f t="shared" si="15"/>
        <v>0</v>
      </c>
      <c r="AE27" s="12">
        <f t="shared" si="16"/>
        <v>0</v>
      </c>
      <c r="AF27" s="12">
        <f t="shared" si="17"/>
        <v>0</v>
      </c>
      <c r="AG27" s="12">
        <f t="shared" si="18"/>
        <v>0</v>
      </c>
      <c r="AH27" s="12">
        <f t="shared" si="19"/>
        <v>0</v>
      </c>
      <c r="AI27" s="12">
        <f t="shared" si="20"/>
        <v>0</v>
      </c>
      <c r="AJ27" s="12">
        <f>IF(AE27=0,0,IF(X27="article",1,IF(X27="book",2,IF(AND(X27="chapter",SUM(AI$4:AI26)=0),1,0))))</f>
        <v>0</v>
      </c>
      <c r="AK27" s="12">
        <f t="shared" si="21"/>
        <v>0</v>
      </c>
      <c r="AL27" s="12" t="str">
        <f t="shared" si="22"/>
        <v/>
      </c>
    </row>
    <row r="28" spans="1:38" x14ac:dyDescent="0.3">
      <c r="A28" s="6"/>
      <c r="B28" s="6"/>
      <c r="C28" s="6"/>
      <c r="D28" s="6"/>
      <c r="E28" s="6"/>
      <c r="F28" s="6"/>
      <c r="G28" s="6"/>
      <c r="H28" s="11"/>
      <c r="I28" s="6"/>
      <c r="J28" s="6"/>
      <c r="K28" s="6"/>
      <c r="L28" s="6"/>
      <c r="N28" s="12">
        <f t="shared" si="0"/>
        <v>0</v>
      </c>
      <c r="O28" s="12" t="str">
        <f t="shared" si="1"/>
        <v/>
      </c>
      <c r="P28" s="12">
        <f t="shared" si="2"/>
        <v>1</v>
      </c>
      <c r="Q28" s="13" t="str">
        <f t="shared" si="3"/>
        <v/>
      </c>
      <c r="R28" s="12">
        <f t="shared" si="4"/>
        <v>0</v>
      </c>
      <c r="S28" s="12">
        <f t="shared" si="5"/>
        <v>0</v>
      </c>
      <c r="T28" s="12">
        <f t="shared" si="6"/>
        <v>3</v>
      </c>
      <c r="U28" s="12">
        <f t="shared" si="7"/>
        <v>1</v>
      </c>
      <c r="V28" s="12" t="str">
        <f t="shared" si="8"/>
        <v>coauthor</v>
      </c>
      <c r="W28" s="12">
        <f t="shared" si="9"/>
        <v>0.7</v>
      </c>
      <c r="X28" s="12" t="str">
        <f t="shared" si="10"/>
        <v/>
      </c>
      <c r="Y28" s="12">
        <f t="shared" si="11"/>
        <v>0</v>
      </c>
      <c r="Z28" s="12">
        <f t="shared" si="12"/>
        <v>0</v>
      </c>
      <c r="AA28" s="12" t="str">
        <f t="shared" si="13"/>
        <v/>
      </c>
      <c r="AB28" s="12" t="str">
        <f t="shared" si="14"/>
        <v/>
      </c>
      <c r="AC28" s="12">
        <f>IF(AB28="",1,IF(AND(SUMPRODUCT((AB$5:AB$44=AB28)*(Z$5:Z$44&gt;Z28))=0,SUMPRODUCT((AB$5:AB27=AB28)*(Z$5:Z27=Z28))=0),1,0))</f>
        <v>1</v>
      </c>
      <c r="AD28" s="12">
        <f t="shared" si="15"/>
        <v>0</v>
      </c>
      <c r="AE28" s="12">
        <f t="shared" si="16"/>
        <v>0</v>
      </c>
      <c r="AF28" s="12">
        <f t="shared" si="17"/>
        <v>0</v>
      </c>
      <c r="AG28" s="12">
        <f t="shared" si="18"/>
        <v>0</v>
      </c>
      <c r="AH28" s="12">
        <f t="shared" si="19"/>
        <v>0</v>
      </c>
      <c r="AI28" s="12">
        <f t="shared" si="20"/>
        <v>0</v>
      </c>
      <c r="AJ28" s="12">
        <f>IF(AE28=0,0,IF(X28="article",1,IF(X28="book",2,IF(AND(X28="chapter",SUM(AI$4:AI27)=0),1,0))))</f>
        <v>0</v>
      </c>
      <c r="AK28" s="12">
        <f t="shared" si="21"/>
        <v>0</v>
      </c>
      <c r="AL28" s="12" t="str">
        <f t="shared" si="22"/>
        <v/>
      </c>
    </row>
    <row r="29" spans="1:38" x14ac:dyDescent="0.3">
      <c r="A29" s="6"/>
      <c r="B29" s="6"/>
      <c r="C29" s="6"/>
      <c r="D29" s="6"/>
      <c r="E29" s="6"/>
      <c r="F29" s="6"/>
      <c r="G29" s="6"/>
      <c r="H29" s="11"/>
      <c r="I29" s="6"/>
      <c r="J29" s="6"/>
      <c r="K29" s="6"/>
      <c r="L29" s="6"/>
      <c r="N29" s="12">
        <f t="shared" si="0"/>
        <v>0</v>
      </c>
      <c r="O29" s="12" t="str">
        <f t="shared" si="1"/>
        <v/>
      </c>
      <c r="P29" s="12">
        <f t="shared" si="2"/>
        <v>1</v>
      </c>
      <c r="Q29" s="13" t="str">
        <f t="shared" si="3"/>
        <v/>
      </c>
      <c r="R29" s="12">
        <f t="shared" si="4"/>
        <v>0</v>
      </c>
      <c r="S29" s="12">
        <f t="shared" si="5"/>
        <v>0</v>
      </c>
      <c r="T29" s="12">
        <f t="shared" si="6"/>
        <v>3</v>
      </c>
      <c r="U29" s="12">
        <f t="shared" si="7"/>
        <v>1</v>
      </c>
      <c r="V29" s="12" t="str">
        <f t="shared" si="8"/>
        <v>coauthor</v>
      </c>
      <c r="W29" s="12">
        <f t="shared" si="9"/>
        <v>0.7</v>
      </c>
      <c r="X29" s="12" t="str">
        <f t="shared" si="10"/>
        <v/>
      </c>
      <c r="Y29" s="12">
        <f t="shared" si="11"/>
        <v>0</v>
      </c>
      <c r="Z29" s="12">
        <f t="shared" si="12"/>
        <v>0</v>
      </c>
      <c r="AA29" s="12" t="str">
        <f t="shared" si="13"/>
        <v/>
      </c>
      <c r="AB29" s="12" t="str">
        <f t="shared" si="14"/>
        <v/>
      </c>
      <c r="AC29" s="12">
        <f>IF(AB29="",1,IF(AND(SUMPRODUCT((AB$5:AB$44=AB29)*(Z$5:Z$44&gt;Z29))=0,SUMPRODUCT((AB$5:AB28=AB29)*(Z$5:Z28=Z29))=0),1,0))</f>
        <v>1</v>
      </c>
      <c r="AD29" s="12">
        <f t="shared" si="15"/>
        <v>0</v>
      </c>
      <c r="AE29" s="12">
        <f t="shared" si="16"/>
        <v>0</v>
      </c>
      <c r="AF29" s="12">
        <f t="shared" si="17"/>
        <v>0</v>
      </c>
      <c r="AG29" s="12">
        <f t="shared" si="18"/>
        <v>0</v>
      </c>
      <c r="AH29" s="12">
        <f t="shared" si="19"/>
        <v>0</v>
      </c>
      <c r="AI29" s="12">
        <f t="shared" si="20"/>
        <v>0</v>
      </c>
      <c r="AJ29" s="12">
        <f>IF(AE29=0,0,IF(X29="article",1,IF(X29="book",2,IF(AND(X29="chapter",SUM(AI$4:AI28)=0),1,0))))</f>
        <v>0</v>
      </c>
      <c r="AK29" s="12">
        <f t="shared" si="21"/>
        <v>0</v>
      </c>
      <c r="AL29" s="12" t="str">
        <f t="shared" si="22"/>
        <v/>
      </c>
    </row>
    <row r="30" spans="1:38" x14ac:dyDescent="0.3">
      <c r="A30" s="6"/>
      <c r="B30" s="6"/>
      <c r="C30" s="6"/>
      <c r="D30" s="6"/>
      <c r="E30" s="6"/>
      <c r="F30" s="6"/>
      <c r="G30" s="6"/>
      <c r="H30" s="11"/>
      <c r="I30" s="6"/>
      <c r="J30" s="6"/>
      <c r="K30" s="6"/>
      <c r="L30" s="6"/>
      <c r="N30" s="12">
        <f t="shared" si="0"/>
        <v>0</v>
      </c>
      <c r="O30" s="12" t="str">
        <f t="shared" si="1"/>
        <v/>
      </c>
      <c r="P30" s="12">
        <f t="shared" si="2"/>
        <v>1</v>
      </c>
      <c r="Q30" s="13" t="str">
        <f t="shared" si="3"/>
        <v/>
      </c>
      <c r="R30" s="12">
        <f t="shared" si="4"/>
        <v>0</v>
      </c>
      <c r="S30" s="12">
        <f t="shared" si="5"/>
        <v>0</v>
      </c>
      <c r="T30" s="12">
        <f t="shared" si="6"/>
        <v>3</v>
      </c>
      <c r="U30" s="12">
        <f t="shared" si="7"/>
        <v>1</v>
      </c>
      <c r="V30" s="12" t="str">
        <f t="shared" si="8"/>
        <v>coauthor</v>
      </c>
      <c r="W30" s="12">
        <f t="shared" si="9"/>
        <v>0.7</v>
      </c>
      <c r="X30" s="12" t="str">
        <f t="shared" si="10"/>
        <v/>
      </c>
      <c r="Y30" s="12">
        <f t="shared" si="11"/>
        <v>0</v>
      </c>
      <c r="Z30" s="12">
        <f t="shared" si="12"/>
        <v>0</v>
      </c>
      <c r="AA30" s="12" t="str">
        <f t="shared" si="13"/>
        <v/>
      </c>
      <c r="AB30" s="12" t="str">
        <f t="shared" si="14"/>
        <v/>
      </c>
      <c r="AC30" s="12">
        <f>IF(AB30="",1,IF(AND(SUMPRODUCT((AB$5:AB$44=AB30)*(Z$5:Z$44&gt;Z30))=0,SUMPRODUCT((AB$5:AB29=AB30)*(Z$5:Z29=Z30))=0),1,0))</f>
        <v>1</v>
      </c>
      <c r="AD30" s="12">
        <f t="shared" si="15"/>
        <v>0</v>
      </c>
      <c r="AE30" s="12">
        <f t="shared" si="16"/>
        <v>0</v>
      </c>
      <c r="AF30" s="12">
        <f t="shared" si="17"/>
        <v>0</v>
      </c>
      <c r="AG30" s="12">
        <f t="shared" si="18"/>
        <v>0</v>
      </c>
      <c r="AH30" s="12">
        <f t="shared" si="19"/>
        <v>0</v>
      </c>
      <c r="AI30" s="12">
        <f t="shared" si="20"/>
        <v>0</v>
      </c>
      <c r="AJ30" s="12">
        <f>IF(AE30=0,0,IF(X30="article",1,IF(X30="book",2,IF(AND(X30="chapter",SUM(AI$4:AI29)=0),1,0))))</f>
        <v>0</v>
      </c>
      <c r="AK30" s="12">
        <f t="shared" si="21"/>
        <v>0</v>
      </c>
      <c r="AL30" s="12" t="str">
        <f t="shared" si="22"/>
        <v/>
      </c>
    </row>
    <row r="31" spans="1:38" x14ac:dyDescent="0.3">
      <c r="A31" s="6"/>
      <c r="B31" s="6"/>
      <c r="C31" s="6"/>
      <c r="D31" s="6"/>
      <c r="E31" s="6"/>
      <c r="F31" s="6"/>
      <c r="G31" s="6"/>
      <c r="H31" s="11"/>
      <c r="I31" s="6"/>
      <c r="J31" s="6"/>
      <c r="K31" s="6"/>
      <c r="L31" s="6"/>
      <c r="N31" s="12">
        <f t="shared" si="0"/>
        <v>0</v>
      </c>
      <c r="O31" s="12" t="str">
        <f t="shared" si="1"/>
        <v/>
      </c>
      <c r="P31" s="12">
        <f t="shared" si="2"/>
        <v>1</v>
      </c>
      <c r="Q31" s="13" t="str">
        <f t="shared" si="3"/>
        <v/>
      </c>
      <c r="R31" s="12">
        <f t="shared" si="4"/>
        <v>0</v>
      </c>
      <c r="S31" s="12">
        <f t="shared" si="5"/>
        <v>0</v>
      </c>
      <c r="T31" s="12">
        <f t="shared" si="6"/>
        <v>3</v>
      </c>
      <c r="U31" s="12">
        <f t="shared" si="7"/>
        <v>1</v>
      </c>
      <c r="V31" s="12" t="str">
        <f t="shared" si="8"/>
        <v>coauthor</v>
      </c>
      <c r="W31" s="12">
        <f t="shared" si="9"/>
        <v>0.7</v>
      </c>
      <c r="X31" s="12" t="str">
        <f t="shared" si="10"/>
        <v/>
      </c>
      <c r="Y31" s="12">
        <f t="shared" si="11"/>
        <v>0</v>
      </c>
      <c r="Z31" s="12">
        <f t="shared" si="12"/>
        <v>0</v>
      </c>
      <c r="AA31" s="12" t="str">
        <f t="shared" si="13"/>
        <v/>
      </c>
      <c r="AB31" s="12" t="str">
        <f t="shared" si="14"/>
        <v/>
      </c>
      <c r="AC31" s="12">
        <f>IF(AB31="",1,IF(AND(SUMPRODUCT((AB$5:AB$44=AB31)*(Z$5:Z$44&gt;Z31))=0,SUMPRODUCT((AB$5:AB30=AB31)*(Z$5:Z30=Z31))=0),1,0))</f>
        <v>1</v>
      </c>
      <c r="AD31" s="12">
        <f t="shared" si="15"/>
        <v>0</v>
      </c>
      <c r="AE31" s="12">
        <f t="shared" si="16"/>
        <v>0</v>
      </c>
      <c r="AF31" s="12">
        <f t="shared" si="17"/>
        <v>0</v>
      </c>
      <c r="AG31" s="12">
        <f t="shared" si="18"/>
        <v>0</v>
      </c>
      <c r="AH31" s="12">
        <f t="shared" si="19"/>
        <v>0</v>
      </c>
      <c r="AI31" s="12">
        <f t="shared" si="20"/>
        <v>0</v>
      </c>
      <c r="AJ31" s="12">
        <f>IF(AE31=0,0,IF(X31="article",1,IF(X31="book",2,IF(AND(X31="chapter",SUM(AI$4:AI30)=0),1,0))))</f>
        <v>0</v>
      </c>
      <c r="AK31" s="12">
        <f t="shared" si="21"/>
        <v>0</v>
      </c>
      <c r="AL31" s="12" t="str">
        <f t="shared" si="22"/>
        <v/>
      </c>
    </row>
    <row r="32" spans="1:38" x14ac:dyDescent="0.3">
      <c r="A32" s="6"/>
      <c r="B32" s="6"/>
      <c r="C32" s="6"/>
      <c r="D32" s="6"/>
      <c r="E32" s="6"/>
      <c r="F32" s="6"/>
      <c r="G32" s="6"/>
      <c r="H32" s="11"/>
      <c r="I32" s="6"/>
      <c r="J32" s="6"/>
      <c r="K32" s="6"/>
      <c r="L32" s="6"/>
      <c r="N32" s="12">
        <f t="shared" si="0"/>
        <v>0</v>
      </c>
      <c r="O32" s="12" t="str">
        <f t="shared" si="1"/>
        <v/>
      </c>
      <c r="P32" s="12">
        <f t="shared" si="2"/>
        <v>1</v>
      </c>
      <c r="Q32" s="13" t="str">
        <f t="shared" si="3"/>
        <v/>
      </c>
      <c r="R32" s="12">
        <f t="shared" si="4"/>
        <v>0</v>
      </c>
      <c r="S32" s="12">
        <f t="shared" si="5"/>
        <v>0</v>
      </c>
      <c r="T32" s="12">
        <f t="shared" si="6"/>
        <v>3</v>
      </c>
      <c r="U32" s="12">
        <f t="shared" si="7"/>
        <v>1</v>
      </c>
      <c r="V32" s="12" t="str">
        <f t="shared" si="8"/>
        <v>coauthor</v>
      </c>
      <c r="W32" s="12">
        <f t="shared" si="9"/>
        <v>0.7</v>
      </c>
      <c r="X32" s="12" t="str">
        <f t="shared" si="10"/>
        <v/>
      </c>
      <c r="Y32" s="12">
        <f t="shared" si="11"/>
        <v>0</v>
      </c>
      <c r="Z32" s="12">
        <f t="shared" si="12"/>
        <v>0</v>
      </c>
      <c r="AA32" s="12" t="str">
        <f t="shared" si="13"/>
        <v/>
      </c>
      <c r="AB32" s="12" t="str">
        <f t="shared" si="14"/>
        <v/>
      </c>
      <c r="AC32" s="12">
        <f>IF(AB32="",1,IF(AND(SUMPRODUCT((AB$5:AB$44=AB32)*(Z$5:Z$44&gt;Z32))=0,SUMPRODUCT((AB$5:AB31=AB32)*(Z$5:Z31=Z32))=0),1,0))</f>
        <v>1</v>
      </c>
      <c r="AD32" s="12">
        <f t="shared" si="15"/>
        <v>0</v>
      </c>
      <c r="AE32" s="12">
        <f t="shared" si="16"/>
        <v>0</v>
      </c>
      <c r="AF32" s="12">
        <f t="shared" si="17"/>
        <v>0</v>
      </c>
      <c r="AG32" s="12">
        <f t="shared" si="18"/>
        <v>0</v>
      </c>
      <c r="AH32" s="12">
        <f t="shared" si="19"/>
        <v>0</v>
      </c>
      <c r="AI32" s="12">
        <f t="shared" si="20"/>
        <v>0</v>
      </c>
      <c r="AJ32" s="12">
        <f>IF(AE32=0,0,IF(X32="article",1,IF(X32="book",2,IF(AND(X32="chapter",SUM(AI$4:AI31)=0),1,0))))</f>
        <v>0</v>
      </c>
      <c r="AK32" s="12">
        <f t="shared" si="21"/>
        <v>0</v>
      </c>
      <c r="AL32" s="12" t="str">
        <f t="shared" si="22"/>
        <v/>
      </c>
    </row>
    <row r="33" spans="1:38" x14ac:dyDescent="0.3">
      <c r="A33" s="6"/>
      <c r="B33" s="6"/>
      <c r="C33" s="6"/>
      <c r="D33" s="6"/>
      <c r="E33" s="6"/>
      <c r="F33" s="6"/>
      <c r="G33" s="6"/>
      <c r="H33" s="11"/>
      <c r="I33" s="6"/>
      <c r="J33" s="6"/>
      <c r="K33" s="6"/>
      <c r="L33" s="6"/>
      <c r="N33" s="12">
        <f t="shared" si="0"/>
        <v>0</v>
      </c>
      <c r="O33" s="12" t="str">
        <f t="shared" si="1"/>
        <v/>
      </c>
      <c r="P33" s="12">
        <f t="shared" si="2"/>
        <v>1</v>
      </c>
      <c r="Q33" s="13" t="str">
        <f t="shared" si="3"/>
        <v/>
      </c>
      <c r="R33" s="12">
        <f t="shared" si="4"/>
        <v>0</v>
      </c>
      <c r="S33" s="12">
        <f t="shared" si="5"/>
        <v>0</v>
      </c>
      <c r="T33" s="12">
        <f t="shared" si="6"/>
        <v>3</v>
      </c>
      <c r="U33" s="12">
        <f t="shared" si="7"/>
        <v>1</v>
      </c>
      <c r="V33" s="12" t="str">
        <f t="shared" si="8"/>
        <v>coauthor</v>
      </c>
      <c r="W33" s="12">
        <f t="shared" si="9"/>
        <v>0.7</v>
      </c>
      <c r="X33" s="12" t="str">
        <f t="shared" si="10"/>
        <v/>
      </c>
      <c r="Y33" s="12">
        <f t="shared" si="11"/>
        <v>0</v>
      </c>
      <c r="Z33" s="12">
        <f t="shared" si="12"/>
        <v>0</v>
      </c>
      <c r="AA33" s="12" t="str">
        <f t="shared" si="13"/>
        <v/>
      </c>
      <c r="AB33" s="12" t="str">
        <f t="shared" si="14"/>
        <v/>
      </c>
      <c r="AC33" s="12">
        <f>IF(AB33="",1,IF(AND(SUMPRODUCT((AB$5:AB$44=AB33)*(Z$5:Z$44&gt;Z33))=0,SUMPRODUCT((AB$5:AB32=AB33)*(Z$5:Z32=Z33))=0),1,0))</f>
        <v>1</v>
      </c>
      <c r="AD33" s="12">
        <f t="shared" si="15"/>
        <v>0</v>
      </c>
      <c r="AE33" s="12">
        <f t="shared" si="16"/>
        <v>0</v>
      </c>
      <c r="AF33" s="12">
        <f t="shared" si="17"/>
        <v>0</v>
      </c>
      <c r="AG33" s="12">
        <f t="shared" si="18"/>
        <v>0</v>
      </c>
      <c r="AH33" s="12">
        <f t="shared" si="19"/>
        <v>0</v>
      </c>
      <c r="AI33" s="12">
        <f t="shared" si="20"/>
        <v>0</v>
      </c>
      <c r="AJ33" s="12">
        <f>IF(AE33=0,0,IF(X33="article",1,IF(X33="book",2,IF(AND(X33="chapter",SUM(AI$4:AI32)=0),1,0))))</f>
        <v>0</v>
      </c>
      <c r="AK33" s="12">
        <f t="shared" si="21"/>
        <v>0</v>
      </c>
      <c r="AL33" s="12" t="str">
        <f t="shared" si="22"/>
        <v/>
      </c>
    </row>
    <row r="34" spans="1:38" x14ac:dyDescent="0.3">
      <c r="A34" s="6"/>
      <c r="B34" s="6"/>
      <c r="C34" s="6"/>
      <c r="D34" s="6"/>
      <c r="E34" s="6"/>
      <c r="F34" s="6"/>
      <c r="G34" s="6"/>
      <c r="H34" s="11"/>
      <c r="I34" s="6"/>
      <c r="J34" s="6"/>
      <c r="K34" s="6"/>
      <c r="L34" s="6"/>
      <c r="N34" s="12">
        <f t="shared" si="0"/>
        <v>0</v>
      </c>
      <c r="O34" s="12" t="str">
        <f t="shared" si="1"/>
        <v/>
      </c>
      <c r="P34" s="12">
        <f t="shared" si="2"/>
        <v>1</v>
      </c>
      <c r="Q34" s="13" t="str">
        <f t="shared" si="3"/>
        <v/>
      </c>
      <c r="R34" s="12">
        <f t="shared" si="4"/>
        <v>0</v>
      </c>
      <c r="S34" s="12">
        <f t="shared" si="5"/>
        <v>0</v>
      </c>
      <c r="T34" s="12">
        <f t="shared" si="6"/>
        <v>3</v>
      </c>
      <c r="U34" s="12">
        <f t="shared" si="7"/>
        <v>1</v>
      </c>
      <c r="V34" s="12" t="str">
        <f t="shared" si="8"/>
        <v>coauthor</v>
      </c>
      <c r="W34" s="12">
        <f t="shared" si="9"/>
        <v>0.7</v>
      </c>
      <c r="X34" s="12" t="str">
        <f t="shared" si="10"/>
        <v/>
      </c>
      <c r="Y34" s="12">
        <f t="shared" si="11"/>
        <v>0</v>
      </c>
      <c r="Z34" s="12">
        <f t="shared" si="12"/>
        <v>0</v>
      </c>
      <c r="AA34" s="12" t="str">
        <f t="shared" si="13"/>
        <v/>
      </c>
      <c r="AB34" s="12" t="str">
        <f t="shared" si="14"/>
        <v/>
      </c>
      <c r="AC34" s="12">
        <f>IF(AB34="",1,IF(AND(SUMPRODUCT((AB$5:AB$44=AB34)*(Z$5:Z$44&gt;Z34))=0,SUMPRODUCT((AB$5:AB33=AB34)*(Z$5:Z33=Z34))=0),1,0))</f>
        <v>1</v>
      </c>
      <c r="AD34" s="12">
        <f t="shared" si="15"/>
        <v>0</v>
      </c>
      <c r="AE34" s="12">
        <f t="shared" si="16"/>
        <v>0</v>
      </c>
      <c r="AF34" s="12">
        <f t="shared" si="17"/>
        <v>0</v>
      </c>
      <c r="AG34" s="12">
        <f t="shared" si="18"/>
        <v>0</v>
      </c>
      <c r="AH34" s="12">
        <f t="shared" si="19"/>
        <v>0</v>
      </c>
      <c r="AI34" s="12">
        <f t="shared" si="20"/>
        <v>0</v>
      </c>
      <c r="AJ34" s="12">
        <f>IF(AE34=0,0,IF(X34="article",1,IF(X34="book",2,IF(AND(X34="chapter",SUM(AI$4:AI33)=0),1,0))))</f>
        <v>0</v>
      </c>
      <c r="AK34" s="12">
        <f t="shared" si="21"/>
        <v>0</v>
      </c>
      <c r="AL34" s="12" t="str">
        <f t="shared" si="22"/>
        <v/>
      </c>
    </row>
    <row r="35" spans="1:38" x14ac:dyDescent="0.3">
      <c r="A35" s="6"/>
      <c r="B35" s="6"/>
      <c r="C35" s="6"/>
      <c r="D35" s="6"/>
      <c r="E35" s="6"/>
      <c r="F35" s="6"/>
      <c r="G35" s="6"/>
      <c r="H35" s="11"/>
      <c r="I35" s="6"/>
      <c r="J35" s="6"/>
      <c r="K35" s="6"/>
      <c r="L35" s="6"/>
      <c r="N35" s="12">
        <f t="shared" si="0"/>
        <v>0</v>
      </c>
      <c r="O35" s="12" t="str">
        <f t="shared" si="1"/>
        <v/>
      </c>
      <c r="P35" s="12">
        <f t="shared" si="2"/>
        <v>1</v>
      </c>
      <c r="Q35" s="13" t="str">
        <f t="shared" si="3"/>
        <v/>
      </c>
      <c r="R35" s="12">
        <f t="shared" si="4"/>
        <v>0</v>
      </c>
      <c r="S35" s="12">
        <f t="shared" si="5"/>
        <v>0</v>
      </c>
      <c r="T35" s="12">
        <f t="shared" si="6"/>
        <v>3</v>
      </c>
      <c r="U35" s="12">
        <f t="shared" si="7"/>
        <v>1</v>
      </c>
      <c r="V35" s="12" t="str">
        <f t="shared" si="8"/>
        <v>coauthor</v>
      </c>
      <c r="W35" s="12">
        <f t="shared" si="9"/>
        <v>0.7</v>
      </c>
      <c r="X35" s="12" t="str">
        <f t="shared" si="10"/>
        <v/>
      </c>
      <c r="Y35" s="12">
        <f t="shared" si="11"/>
        <v>0</v>
      </c>
      <c r="Z35" s="12">
        <f t="shared" si="12"/>
        <v>0</v>
      </c>
      <c r="AA35" s="12" t="str">
        <f t="shared" si="13"/>
        <v/>
      </c>
      <c r="AB35" s="12" t="str">
        <f t="shared" si="14"/>
        <v/>
      </c>
      <c r="AC35" s="12">
        <f>IF(AB35="",1,IF(AND(SUMPRODUCT((AB$5:AB$44=AB35)*(Z$5:Z$44&gt;Z35))=0,SUMPRODUCT((AB$5:AB34=AB35)*(Z$5:Z34=Z35))=0),1,0))</f>
        <v>1</v>
      </c>
      <c r="AD35" s="12">
        <f t="shared" si="15"/>
        <v>0</v>
      </c>
      <c r="AE35" s="12">
        <f t="shared" si="16"/>
        <v>0</v>
      </c>
      <c r="AF35" s="12">
        <f t="shared" si="17"/>
        <v>0</v>
      </c>
      <c r="AG35" s="12">
        <f t="shared" si="18"/>
        <v>0</v>
      </c>
      <c r="AH35" s="12">
        <f t="shared" si="19"/>
        <v>0</v>
      </c>
      <c r="AI35" s="12">
        <f t="shared" si="20"/>
        <v>0</v>
      </c>
      <c r="AJ35" s="12">
        <f>IF(AE35=0,0,IF(X35="article",1,IF(X35="book",2,IF(AND(X35="chapter",SUM(AI$4:AI34)=0),1,0))))</f>
        <v>0</v>
      </c>
      <c r="AK35" s="12">
        <f t="shared" si="21"/>
        <v>0</v>
      </c>
      <c r="AL35" s="12" t="str">
        <f t="shared" si="22"/>
        <v/>
      </c>
    </row>
    <row r="36" spans="1:38" x14ac:dyDescent="0.3">
      <c r="A36" s="6"/>
      <c r="B36" s="6"/>
      <c r="C36" s="6"/>
      <c r="D36" s="6"/>
      <c r="E36" s="6"/>
      <c r="F36" s="6"/>
      <c r="G36" s="6"/>
      <c r="H36" s="11"/>
      <c r="I36" s="6"/>
      <c r="J36" s="6"/>
      <c r="K36" s="6"/>
      <c r="L36" s="6"/>
      <c r="N36" s="12">
        <f t="shared" si="0"/>
        <v>0</v>
      </c>
      <c r="O36" s="12" t="str">
        <f t="shared" si="1"/>
        <v/>
      </c>
      <c r="P36" s="12">
        <f t="shared" si="2"/>
        <v>1</v>
      </c>
      <c r="Q36" s="13" t="str">
        <f t="shared" si="3"/>
        <v/>
      </c>
      <c r="R36" s="12">
        <f t="shared" si="4"/>
        <v>0</v>
      </c>
      <c r="S36" s="12">
        <f t="shared" si="5"/>
        <v>0</v>
      </c>
      <c r="T36" s="12">
        <f t="shared" si="6"/>
        <v>3</v>
      </c>
      <c r="U36" s="12">
        <f t="shared" si="7"/>
        <v>1</v>
      </c>
      <c r="V36" s="12" t="str">
        <f t="shared" si="8"/>
        <v>coauthor</v>
      </c>
      <c r="W36" s="12">
        <f t="shared" si="9"/>
        <v>0.7</v>
      </c>
      <c r="X36" s="12" t="str">
        <f t="shared" si="10"/>
        <v/>
      </c>
      <c r="Y36" s="12">
        <f t="shared" si="11"/>
        <v>0</v>
      </c>
      <c r="Z36" s="12">
        <f t="shared" si="12"/>
        <v>0</v>
      </c>
      <c r="AA36" s="12" t="str">
        <f t="shared" si="13"/>
        <v/>
      </c>
      <c r="AB36" s="12" t="str">
        <f t="shared" si="14"/>
        <v/>
      </c>
      <c r="AC36" s="12">
        <f>IF(AB36="",1,IF(AND(SUMPRODUCT((AB$5:AB$44=AB36)*(Z$5:Z$44&gt;Z36))=0,SUMPRODUCT((AB$5:AB35=AB36)*(Z$5:Z35=Z36))=0),1,0))</f>
        <v>1</v>
      </c>
      <c r="AD36" s="12">
        <f t="shared" si="15"/>
        <v>0</v>
      </c>
      <c r="AE36" s="12">
        <f t="shared" si="16"/>
        <v>0</v>
      </c>
      <c r="AF36" s="12">
        <f t="shared" si="17"/>
        <v>0</v>
      </c>
      <c r="AG36" s="12">
        <f t="shared" si="18"/>
        <v>0</v>
      </c>
      <c r="AH36" s="12">
        <f t="shared" si="19"/>
        <v>0</v>
      </c>
      <c r="AI36" s="12">
        <f t="shared" si="20"/>
        <v>0</v>
      </c>
      <c r="AJ36" s="12">
        <f>IF(AE36=0,0,IF(X36="article",1,IF(X36="book",2,IF(AND(X36="chapter",SUM(AI$4:AI35)=0),1,0))))</f>
        <v>0</v>
      </c>
      <c r="AK36" s="12">
        <f t="shared" si="21"/>
        <v>0</v>
      </c>
      <c r="AL36" s="12" t="str">
        <f t="shared" si="22"/>
        <v/>
      </c>
    </row>
    <row r="37" spans="1:38" x14ac:dyDescent="0.3">
      <c r="A37" s="6"/>
      <c r="B37" s="6"/>
      <c r="C37" s="6"/>
      <c r="D37" s="6"/>
      <c r="E37" s="6"/>
      <c r="F37" s="6"/>
      <c r="G37" s="6"/>
      <c r="H37" s="11"/>
      <c r="I37" s="6"/>
      <c r="J37" s="6"/>
      <c r="K37" s="6"/>
      <c r="L37" s="6"/>
      <c r="N37" s="12">
        <f t="shared" si="0"/>
        <v>0</v>
      </c>
      <c r="O37" s="12" t="str">
        <f t="shared" si="1"/>
        <v/>
      </c>
      <c r="P37" s="12">
        <f t="shared" si="2"/>
        <v>1</v>
      </c>
      <c r="Q37" s="13" t="str">
        <f t="shared" si="3"/>
        <v/>
      </c>
      <c r="R37" s="12">
        <f t="shared" si="4"/>
        <v>0</v>
      </c>
      <c r="S37" s="12">
        <f t="shared" si="5"/>
        <v>0</v>
      </c>
      <c r="T37" s="12">
        <f t="shared" si="6"/>
        <v>3</v>
      </c>
      <c r="U37" s="12">
        <f t="shared" si="7"/>
        <v>1</v>
      </c>
      <c r="V37" s="12" t="str">
        <f t="shared" si="8"/>
        <v>coauthor</v>
      </c>
      <c r="W37" s="12">
        <f t="shared" si="9"/>
        <v>0.7</v>
      </c>
      <c r="X37" s="12" t="str">
        <f t="shared" si="10"/>
        <v/>
      </c>
      <c r="Y37" s="12">
        <f t="shared" si="11"/>
        <v>0</v>
      </c>
      <c r="Z37" s="12">
        <f t="shared" si="12"/>
        <v>0</v>
      </c>
      <c r="AA37" s="12" t="str">
        <f t="shared" si="13"/>
        <v/>
      </c>
      <c r="AB37" s="12" t="str">
        <f t="shared" si="14"/>
        <v/>
      </c>
      <c r="AC37" s="12">
        <f>IF(AB37="",1,IF(AND(SUMPRODUCT((AB$5:AB$44=AB37)*(Z$5:Z$44&gt;Z37))=0,SUMPRODUCT((AB$5:AB36=AB37)*(Z$5:Z36=Z37))=0),1,0))</f>
        <v>1</v>
      </c>
      <c r="AD37" s="12">
        <f t="shared" si="15"/>
        <v>0</v>
      </c>
      <c r="AE37" s="12">
        <f t="shared" si="16"/>
        <v>0</v>
      </c>
      <c r="AF37" s="12">
        <f t="shared" si="17"/>
        <v>0</v>
      </c>
      <c r="AG37" s="12">
        <f t="shared" si="18"/>
        <v>0</v>
      </c>
      <c r="AH37" s="12">
        <f t="shared" si="19"/>
        <v>0</v>
      </c>
      <c r="AI37" s="12">
        <f t="shared" si="20"/>
        <v>0</v>
      </c>
      <c r="AJ37" s="12">
        <f>IF(AE37=0,0,IF(X37="article",1,IF(X37="book",2,IF(AND(X37="chapter",SUM(AI$4:AI36)=0),1,0))))</f>
        <v>0</v>
      </c>
      <c r="AK37" s="12">
        <f t="shared" si="21"/>
        <v>0</v>
      </c>
      <c r="AL37" s="12" t="str">
        <f t="shared" si="22"/>
        <v/>
      </c>
    </row>
    <row r="38" spans="1:38" x14ac:dyDescent="0.3">
      <c r="A38" s="6"/>
      <c r="B38" s="6"/>
      <c r="C38" s="6"/>
      <c r="D38" s="6"/>
      <c r="E38" s="6"/>
      <c r="F38" s="6"/>
      <c r="G38" s="6"/>
      <c r="H38" s="11"/>
      <c r="I38" s="6"/>
      <c r="J38" s="6"/>
      <c r="K38" s="6"/>
      <c r="L38" s="6"/>
      <c r="N38" s="12">
        <f t="shared" si="0"/>
        <v>0</v>
      </c>
      <c r="O38" s="12" t="str">
        <f t="shared" si="1"/>
        <v/>
      </c>
      <c r="P38" s="12">
        <f t="shared" si="2"/>
        <v>1</v>
      </c>
      <c r="Q38" s="13" t="str">
        <f t="shared" si="3"/>
        <v/>
      </c>
      <c r="R38" s="12">
        <f t="shared" si="4"/>
        <v>0</v>
      </c>
      <c r="S38" s="12">
        <f t="shared" si="5"/>
        <v>0</v>
      </c>
      <c r="T38" s="12">
        <f t="shared" si="6"/>
        <v>3</v>
      </c>
      <c r="U38" s="12">
        <f t="shared" si="7"/>
        <v>1</v>
      </c>
      <c r="V38" s="12" t="str">
        <f t="shared" si="8"/>
        <v>coauthor</v>
      </c>
      <c r="W38" s="12">
        <f t="shared" si="9"/>
        <v>0.7</v>
      </c>
      <c r="X38" s="12" t="str">
        <f t="shared" si="10"/>
        <v/>
      </c>
      <c r="Y38" s="12">
        <f t="shared" si="11"/>
        <v>0</v>
      </c>
      <c r="Z38" s="12">
        <f t="shared" si="12"/>
        <v>0</v>
      </c>
      <c r="AA38" s="12" t="str">
        <f t="shared" si="13"/>
        <v/>
      </c>
      <c r="AB38" s="12" t="str">
        <f t="shared" si="14"/>
        <v/>
      </c>
      <c r="AC38" s="12">
        <f>IF(AB38="",1,IF(AND(SUMPRODUCT((AB$5:AB$44=AB38)*(Z$5:Z$44&gt;Z38))=0,SUMPRODUCT((AB$5:AB37=AB38)*(Z$5:Z37=Z38))=0),1,0))</f>
        <v>1</v>
      </c>
      <c r="AD38" s="12">
        <f t="shared" si="15"/>
        <v>0</v>
      </c>
      <c r="AE38" s="12">
        <f t="shared" si="16"/>
        <v>0</v>
      </c>
      <c r="AF38" s="12">
        <f t="shared" si="17"/>
        <v>0</v>
      </c>
      <c r="AG38" s="12">
        <f t="shared" si="18"/>
        <v>0</v>
      </c>
      <c r="AH38" s="12">
        <f t="shared" si="19"/>
        <v>0</v>
      </c>
      <c r="AI38" s="12">
        <f t="shared" si="20"/>
        <v>0</v>
      </c>
      <c r="AJ38" s="12">
        <f>IF(AE38=0,0,IF(X38="article",1,IF(X38="book",2,IF(AND(X38="chapter",SUM(AI$4:AI37)=0),1,0))))</f>
        <v>0</v>
      </c>
      <c r="AK38" s="12">
        <f t="shared" si="21"/>
        <v>0</v>
      </c>
      <c r="AL38" s="12" t="str">
        <f t="shared" si="22"/>
        <v/>
      </c>
    </row>
    <row r="39" spans="1:38" x14ac:dyDescent="0.3">
      <c r="A39" s="6"/>
      <c r="B39" s="6"/>
      <c r="C39" s="6"/>
      <c r="D39" s="6"/>
      <c r="E39" s="6"/>
      <c r="F39" s="6"/>
      <c r="G39" s="6"/>
      <c r="H39" s="11"/>
      <c r="I39" s="6"/>
      <c r="J39" s="6"/>
      <c r="K39" s="6"/>
      <c r="L39" s="6"/>
      <c r="N39" s="12">
        <f t="shared" si="0"/>
        <v>0</v>
      </c>
      <c r="O39" s="12" t="str">
        <f t="shared" si="1"/>
        <v/>
      </c>
      <c r="P39" s="12">
        <f t="shared" si="2"/>
        <v>1</v>
      </c>
      <c r="Q39" s="13" t="str">
        <f t="shared" si="3"/>
        <v/>
      </c>
      <c r="R39" s="12">
        <f t="shared" si="4"/>
        <v>0</v>
      </c>
      <c r="S39" s="12">
        <f t="shared" si="5"/>
        <v>0</v>
      </c>
      <c r="T39" s="12">
        <f t="shared" si="6"/>
        <v>3</v>
      </c>
      <c r="U39" s="12">
        <f t="shared" si="7"/>
        <v>1</v>
      </c>
      <c r="V39" s="12" t="str">
        <f t="shared" si="8"/>
        <v>coauthor</v>
      </c>
      <c r="W39" s="12">
        <f t="shared" si="9"/>
        <v>0.7</v>
      </c>
      <c r="X39" s="12" t="str">
        <f t="shared" si="10"/>
        <v/>
      </c>
      <c r="Y39" s="12">
        <f t="shared" si="11"/>
        <v>0</v>
      </c>
      <c r="Z39" s="12">
        <f t="shared" si="12"/>
        <v>0</v>
      </c>
      <c r="AA39" s="12" t="str">
        <f t="shared" si="13"/>
        <v/>
      </c>
      <c r="AB39" s="12" t="str">
        <f t="shared" si="14"/>
        <v/>
      </c>
      <c r="AC39" s="12">
        <f>IF(AB39="",1,IF(AND(SUMPRODUCT((AB$5:AB$44=AB39)*(Z$5:Z$44&gt;Z39))=0,SUMPRODUCT((AB$5:AB38=AB39)*(Z$5:Z38=Z39))=0),1,0))</f>
        <v>1</v>
      </c>
      <c r="AD39" s="12">
        <f t="shared" si="15"/>
        <v>0</v>
      </c>
      <c r="AE39" s="12">
        <f t="shared" si="16"/>
        <v>0</v>
      </c>
      <c r="AF39" s="12">
        <f t="shared" si="17"/>
        <v>0</v>
      </c>
      <c r="AG39" s="12">
        <f t="shared" si="18"/>
        <v>0</v>
      </c>
      <c r="AH39" s="12">
        <f t="shared" si="19"/>
        <v>0</v>
      </c>
      <c r="AI39" s="12">
        <f t="shared" si="20"/>
        <v>0</v>
      </c>
      <c r="AJ39" s="12">
        <f>IF(AE39=0,0,IF(X39="article",1,IF(X39="book",2,IF(AND(X39="chapter",SUM(AI$4:AI38)=0),1,0))))</f>
        <v>0</v>
      </c>
      <c r="AK39" s="12">
        <f t="shared" si="21"/>
        <v>0</v>
      </c>
      <c r="AL39" s="12" t="str">
        <f t="shared" si="22"/>
        <v/>
      </c>
    </row>
    <row r="40" spans="1:38" x14ac:dyDescent="0.3">
      <c r="A40" s="6"/>
      <c r="B40" s="6"/>
      <c r="C40" s="6"/>
      <c r="D40" s="6"/>
      <c r="E40" s="6"/>
      <c r="F40" s="6"/>
      <c r="G40" s="6"/>
      <c r="H40" s="11"/>
      <c r="I40" s="6"/>
      <c r="J40" s="6"/>
      <c r="K40" s="6"/>
      <c r="L40" s="6"/>
      <c r="N40" s="12">
        <f t="shared" si="0"/>
        <v>0</v>
      </c>
      <c r="O40" s="12" t="str">
        <f t="shared" si="1"/>
        <v/>
      </c>
      <c r="P40" s="12">
        <f t="shared" si="2"/>
        <v>1</v>
      </c>
      <c r="Q40" s="13" t="str">
        <f t="shared" si="3"/>
        <v/>
      </c>
      <c r="R40" s="12">
        <f t="shared" si="4"/>
        <v>0</v>
      </c>
      <c r="S40" s="12">
        <f t="shared" si="5"/>
        <v>0</v>
      </c>
      <c r="T40" s="12">
        <f t="shared" si="6"/>
        <v>3</v>
      </c>
      <c r="U40" s="12">
        <f t="shared" si="7"/>
        <v>1</v>
      </c>
      <c r="V40" s="12" t="str">
        <f t="shared" si="8"/>
        <v>coauthor</v>
      </c>
      <c r="W40" s="12">
        <f t="shared" si="9"/>
        <v>0.7</v>
      </c>
      <c r="X40" s="12" t="str">
        <f t="shared" si="10"/>
        <v/>
      </c>
      <c r="Y40" s="12">
        <f t="shared" si="11"/>
        <v>0</v>
      </c>
      <c r="Z40" s="12">
        <f t="shared" si="12"/>
        <v>0</v>
      </c>
      <c r="AA40" s="12" t="str">
        <f t="shared" si="13"/>
        <v/>
      </c>
      <c r="AB40" s="12" t="str">
        <f t="shared" si="14"/>
        <v/>
      </c>
      <c r="AC40" s="12">
        <f>IF(AB40="",1,IF(AND(SUMPRODUCT((AB$5:AB$44=AB40)*(Z$5:Z$44&gt;Z40))=0,SUMPRODUCT((AB$5:AB39=AB40)*(Z$5:Z39=Z40))=0),1,0))</f>
        <v>1</v>
      </c>
      <c r="AD40" s="12">
        <f t="shared" si="15"/>
        <v>0</v>
      </c>
      <c r="AE40" s="12">
        <f t="shared" si="16"/>
        <v>0</v>
      </c>
      <c r="AF40" s="12">
        <f t="shared" si="17"/>
        <v>0</v>
      </c>
      <c r="AG40" s="12">
        <f t="shared" si="18"/>
        <v>0</v>
      </c>
      <c r="AH40" s="12">
        <f t="shared" si="19"/>
        <v>0</v>
      </c>
      <c r="AI40" s="12">
        <f t="shared" si="20"/>
        <v>0</v>
      </c>
      <c r="AJ40" s="12">
        <f>IF(AE40=0,0,IF(X40="article",1,IF(X40="book",2,IF(AND(X40="chapter",SUM(AI$4:AI39)=0),1,0))))</f>
        <v>0</v>
      </c>
      <c r="AK40" s="12">
        <f t="shared" si="21"/>
        <v>0</v>
      </c>
      <c r="AL40" s="12" t="str">
        <f t="shared" si="22"/>
        <v/>
      </c>
    </row>
    <row r="41" spans="1:38" x14ac:dyDescent="0.3">
      <c r="A41" s="6"/>
      <c r="B41" s="6"/>
      <c r="C41" s="6"/>
      <c r="D41" s="6"/>
      <c r="E41" s="6"/>
      <c r="F41" s="6"/>
      <c r="G41" s="6"/>
      <c r="H41" s="11"/>
      <c r="I41" s="6"/>
      <c r="J41" s="6"/>
      <c r="K41" s="6"/>
      <c r="L41" s="6"/>
      <c r="N41" s="12">
        <f t="shared" si="0"/>
        <v>0</v>
      </c>
      <c r="O41" s="12" t="str">
        <f t="shared" si="1"/>
        <v/>
      </c>
      <c r="P41" s="12">
        <f t="shared" si="2"/>
        <v>1</v>
      </c>
      <c r="Q41" s="13" t="str">
        <f t="shared" si="3"/>
        <v/>
      </c>
      <c r="R41" s="12">
        <f t="shared" si="4"/>
        <v>0</v>
      </c>
      <c r="S41" s="12">
        <f t="shared" si="5"/>
        <v>0</v>
      </c>
      <c r="T41" s="12">
        <f t="shared" si="6"/>
        <v>3</v>
      </c>
      <c r="U41" s="12">
        <f t="shared" si="7"/>
        <v>1</v>
      </c>
      <c r="V41" s="12" t="str">
        <f t="shared" si="8"/>
        <v>coauthor</v>
      </c>
      <c r="W41" s="12">
        <f t="shared" si="9"/>
        <v>0.7</v>
      </c>
      <c r="X41" s="12" t="str">
        <f t="shared" si="10"/>
        <v/>
      </c>
      <c r="Y41" s="12">
        <f t="shared" si="11"/>
        <v>0</v>
      </c>
      <c r="Z41" s="12">
        <f t="shared" si="12"/>
        <v>0</v>
      </c>
      <c r="AA41" s="12" t="str">
        <f t="shared" si="13"/>
        <v/>
      </c>
      <c r="AB41" s="12" t="str">
        <f t="shared" si="14"/>
        <v/>
      </c>
      <c r="AC41" s="12">
        <f>IF(AB41="",1,IF(AND(SUMPRODUCT((AB$5:AB$44=AB41)*(Z$5:Z$44&gt;Z41))=0,SUMPRODUCT((AB$5:AB40=AB41)*(Z$5:Z40=Z41))=0),1,0))</f>
        <v>1</v>
      </c>
      <c r="AD41" s="12">
        <f t="shared" si="15"/>
        <v>0</v>
      </c>
      <c r="AE41" s="12">
        <f t="shared" si="16"/>
        <v>0</v>
      </c>
      <c r="AF41" s="12">
        <f t="shared" si="17"/>
        <v>0</v>
      </c>
      <c r="AG41" s="12">
        <f t="shared" si="18"/>
        <v>0</v>
      </c>
      <c r="AH41" s="12">
        <f t="shared" si="19"/>
        <v>0</v>
      </c>
      <c r="AI41" s="12">
        <f t="shared" si="20"/>
        <v>0</v>
      </c>
      <c r="AJ41" s="12">
        <f>IF(AE41=0,0,IF(X41="article",1,IF(X41="book",2,IF(AND(X41="chapter",SUM(AI$4:AI40)=0),1,0))))</f>
        <v>0</v>
      </c>
      <c r="AK41" s="12">
        <f t="shared" si="21"/>
        <v>0</v>
      </c>
      <c r="AL41" s="12" t="str">
        <f t="shared" si="22"/>
        <v/>
      </c>
    </row>
    <row r="42" spans="1:38" x14ac:dyDescent="0.3">
      <c r="A42" s="6"/>
      <c r="B42" s="6"/>
      <c r="C42" s="6"/>
      <c r="D42" s="6"/>
      <c r="E42" s="6"/>
      <c r="F42" s="6"/>
      <c r="G42" s="6"/>
      <c r="H42" s="11"/>
      <c r="I42" s="6"/>
      <c r="J42" s="6"/>
      <c r="K42" s="6"/>
      <c r="L42" s="6"/>
      <c r="N42" s="12">
        <f t="shared" si="0"/>
        <v>0</v>
      </c>
      <c r="O42" s="12" t="str">
        <f t="shared" si="1"/>
        <v/>
      </c>
      <c r="P42" s="12">
        <f t="shared" si="2"/>
        <v>1</v>
      </c>
      <c r="Q42" s="13" t="str">
        <f t="shared" si="3"/>
        <v/>
      </c>
      <c r="R42" s="12">
        <f t="shared" si="4"/>
        <v>0</v>
      </c>
      <c r="S42" s="12">
        <f t="shared" si="5"/>
        <v>0</v>
      </c>
      <c r="T42" s="12">
        <f t="shared" si="6"/>
        <v>3</v>
      </c>
      <c r="U42" s="12">
        <f t="shared" si="7"/>
        <v>1</v>
      </c>
      <c r="V42" s="12" t="str">
        <f t="shared" si="8"/>
        <v>coauthor</v>
      </c>
      <c r="W42" s="12">
        <f t="shared" si="9"/>
        <v>0.7</v>
      </c>
      <c r="X42" s="12" t="str">
        <f t="shared" si="10"/>
        <v/>
      </c>
      <c r="Y42" s="12">
        <f t="shared" si="11"/>
        <v>0</v>
      </c>
      <c r="Z42" s="12">
        <f t="shared" si="12"/>
        <v>0</v>
      </c>
      <c r="AA42" s="12" t="str">
        <f t="shared" si="13"/>
        <v/>
      </c>
      <c r="AB42" s="12" t="str">
        <f t="shared" si="14"/>
        <v/>
      </c>
      <c r="AC42" s="12">
        <f>IF(AB42="",1,IF(AND(SUMPRODUCT((AB$5:AB$44=AB42)*(Z$5:Z$44&gt;Z42))=0,SUMPRODUCT((AB$5:AB41=AB42)*(Z$5:Z41=Z42))=0),1,0))</f>
        <v>1</v>
      </c>
      <c r="AD42" s="12">
        <f t="shared" si="15"/>
        <v>0</v>
      </c>
      <c r="AE42" s="12">
        <f t="shared" si="16"/>
        <v>0</v>
      </c>
      <c r="AF42" s="12">
        <f t="shared" si="17"/>
        <v>0</v>
      </c>
      <c r="AG42" s="12">
        <f t="shared" si="18"/>
        <v>0</v>
      </c>
      <c r="AH42" s="12">
        <f t="shared" si="19"/>
        <v>0</v>
      </c>
      <c r="AI42" s="12">
        <f t="shared" si="20"/>
        <v>0</v>
      </c>
      <c r="AJ42" s="12">
        <f>IF(AE42=0,0,IF(X42="article",1,IF(X42="book",2,IF(AND(X42="chapter",SUM(AI$4:AI41)=0),1,0))))</f>
        <v>0</v>
      </c>
      <c r="AK42" s="12">
        <f t="shared" si="21"/>
        <v>0</v>
      </c>
      <c r="AL42" s="12" t="str">
        <f t="shared" si="22"/>
        <v/>
      </c>
    </row>
    <row r="43" spans="1:38" x14ac:dyDescent="0.3">
      <c r="A43" s="6"/>
      <c r="B43" s="6"/>
      <c r="C43" s="6"/>
      <c r="D43" s="6"/>
      <c r="E43" s="6"/>
      <c r="F43" s="6"/>
      <c r="G43" s="6"/>
      <c r="H43" s="11"/>
      <c r="I43" s="6"/>
      <c r="J43" s="6"/>
      <c r="K43" s="6"/>
      <c r="L43" s="6"/>
      <c r="N43" s="12">
        <f t="shared" si="0"/>
        <v>0</v>
      </c>
      <c r="O43" s="12" t="str">
        <f t="shared" si="1"/>
        <v/>
      </c>
      <c r="P43" s="12">
        <f t="shared" si="2"/>
        <v>1</v>
      </c>
      <c r="Q43" s="13" t="str">
        <f t="shared" si="3"/>
        <v/>
      </c>
      <c r="R43" s="12">
        <f t="shared" si="4"/>
        <v>0</v>
      </c>
      <c r="S43" s="12">
        <f t="shared" si="5"/>
        <v>0</v>
      </c>
      <c r="T43" s="12">
        <f t="shared" si="6"/>
        <v>3</v>
      </c>
      <c r="U43" s="12">
        <f t="shared" si="7"/>
        <v>1</v>
      </c>
      <c r="V43" s="12" t="str">
        <f t="shared" si="8"/>
        <v>coauthor</v>
      </c>
      <c r="W43" s="12">
        <f t="shared" si="9"/>
        <v>0.7</v>
      </c>
      <c r="X43" s="12" t="str">
        <f t="shared" si="10"/>
        <v/>
      </c>
      <c r="Y43" s="12">
        <f t="shared" si="11"/>
        <v>0</v>
      </c>
      <c r="Z43" s="12">
        <f t="shared" si="12"/>
        <v>0</v>
      </c>
      <c r="AA43" s="12" t="str">
        <f t="shared" si="13"/>
        <v/>
      </c>
      <c r="AB43" s="12" t="str">
        <f t="shared" si="14"/>
        <v/>
      </c>
      <c r="AC43" s="12">
        <f>IF(AB43="",1,IF(AND(SUMPRODUCT((AB$5:AB$44=AB43)*(Z$5:Z$44&gt;Z43))=0,SUMPRODUCT((AB$5:AB42=AB43)*(Z$5:Z42=Z43))=0),1,0))</f>
        <v>1</v>
      </c>
      <c r="AD43" s="12">
        <f t="shared" si="15"/>
        <v>0</v>
      </c>
      <c r="AE43" s="12">
        <f t="shared" si="16"/>
        <v>0</v>
      </c>
      <c r="AF43" s="12">
        <f t="shared" si="17"/>
        <v>0</v>
      </c>
      <c r="AG43" s="12">
        <f t="shared" si="18"/>
        <v>0</v>
      </c>
      <c r="AH43" s="12">
        <f t="shared" si="19"/>
        <v>0</v>
      </c>
      <c r="AI43" s="12">
        <f t="shared" si="20"/>
        <v>0</v>
      </c>
      <c r="AJ43" s="12">
        <f>IF(AE43=0,0,IF(X43="article",1,IF(X43="book",2,IF(AND(X43="chapter",SUM(AI$4:AI42)=0),1,0))))</f>
        <v>0</v>
      </c>
      <c r="AK43" s="12">
        <f t="shared" si="21"/>
        <v>0</v>
      </c>
      <c r="AL43" s="12" t="str">
        <f t="shared" si="22"/>
        <v/>
      </c>
    </row>
    <row r="44" spans="1:38" x14ac:dyDescent="0.3">
      <c r="A44" s="6"/>
      <c r="B44" s="6"/>
      <c r="C44" s="6"/>
      <c r="D44" s="6"/>
      <c r="E44" s="6"/>
      <c r="F44" s="6"/>
      <c r="G44" s="6"/>
      <c r="H44" s="11"/>
      <c r="I44" s="6"/>
      <c r="J44" s="6"/>
      <c r="K44" s="6"/>
      <c r="L44" s="6"/>
      <c r="N44" s="12">
        <f t="shared" si="0"/>
        <v>0</v>
      </c>
      <c r="O44" s="12" t="str">
        <f t="shared" si="1"/>
        <v/>
      </c>
      <c r="P44" s="12">
        <f t="shared" si="2"/>
        <v>1</v>
      </c>
      <c r="Q44" s="13" t="str">
        <f t="shared" si="3"/>
        <v/>
      </c>
      <c r="R44" s="12">
        <f t="shared" si="4"/>
        <v>0</v>
      </c>
      <c r="S44" s="12">
        <f t="shared" si="5"/>
        <v>0</v>
      </c>
      <c r="T44" s="12">
        <f t="shared" si="6"/>
        <v>3</v>
      </c>
      <c r="U44" s="12">
        <f t="shared" si="7"/>
        <v>1</v>
      </c>
      <c r="V44" s="12" t="str">
        <f t="shared" si="8"/>
        <v>coauthor</v>
      </c>
      <c r="W44" s="12">
        <f t="shared" si="9"/>
        <v>0.7</v>
      </c>
      <c r="X44" s="12" t="str">
        <f t="shared" si="10"/>
        <v/>
      </c>
      <c r="Y44" s="12">
        <f t="shared" si="11"/>
        <v>0</v>
      </c>
      <c r="Z44" s="12">
        <f t="shared" si="12"/>
        <v>0</v>
      </c>
      <c r="AA44" s="12" t="str">
        <f t="shared" si="13"/>
        <v/>
      </c>
      <c r="AB44" s="12" t="str">
        <f t="shared" si="14"/>
        <v/>
      </c>
      <c r="AC44" s="12">
        <f>IF(AB44="",1,IF(AND(SUMPRODUCT((AB$5:AB$44=AB44)*(Z$5:Z$44&gt;Z44))=0,SUMPRODUCT((AB$5:AB43=AB44)*(Z$5:Z43=Z44))=0),1,0))</f>
        <v>1</v>
      </c>
      <c r="AD44" s="12">
        <f t="shared" si="15"/>
        <v>0</v>
      </c>
      <c r="AE44" s="12">
        <f t="shared" si="16"/>
        <v>0</v>
      </c>
      <c r="AF44" s="12">
        <f t="shared" si="17"/>
        <v>0</v>
      </c>
      <c r="AG44" s="12">
        <f t="shared" si="18"/>
        <v>0</v>
      </c>
      <c r="AH44" s="12">
        <f t="shared" si="19"/>
        <v>0</v>
      </c>
      <c r="AI44" s="12">
        <f t="shared" si="20"/>
        <v>0</v>
      </c>
      <c r="AJ44" s="12">
        <f>IF(AE44=0,0,IF(X44="article",1,IF(X44="book",2,IF(AND(X44="chapter",SUM(AI$4:AI43)=0),1,0))))</f>
        <v>0</v>
      </c>
      <c r="AK44" s="12">
        <f t="shared" si="21"/>
        <v>0</v>
      </c>
      <c r="AL44" s="12" t="str">
        <f t="shared" si="22"/>
        <v/>
      </c>
    </row>
  </sheetData>
  <sheetProtection sheet="1" formatColumns="0" formatRows="0"/>
  <dataValidations count="9">
    <dataValidation type="list" allowBlank="1" showErrorMessage="1" errorTitle="Choose from the list" error="Pick one of the listed values." sqref="C5:C44" xr:uid="{00000000-0002-0000-0200-000000000000}">
      <formula1>L_pubtype</formula1>
    </dataValidation>
    <dataValidation type="list" allowBlank="1" showInputMessage="1" showErrorMessage="1" errorTitle="Choose from the list" error="Pick one of the listed values." promptTitle="Guidance" prompt="Blank counts as Yes." sqref="D5:D44" xr:uid="{00000000-0002-0000-0200-000001000000}">
      <formula1>L_yesno</formula1>
    </dataValidation>
    <dataValidation type="list" allowBlank="1" showInputMessage="1" showErrorMessage="1" errorTitle="Choose from the list" error="Pick one of the listed values." promptTitle="Guidance" prompt="Tier 1: top quartile (Q1) of its subject category, or the flagship journal of a major society. Tier 2: second quartile. Tier 3: other indexed peer-reviewed journal." sqref="E5:E44" xr:uid="{00000000-0002-0000-0200-000002000000}">
      <formula1>L_tier</formula1>
    </dataValidation>
    <dataValidation type="list" allowBlank="1" showInputMessage="1" showErrorMessage="1" errorTitle="Choose from the list" error="Pick one of the listed values." promptTitle="Guidance" prompt="Sole, first, senior (last) and corresponding authors receive lead credit." sqref="F5:F44" xr:uid="{00000000-0002-0000-0200-000003000000}">
      <formula1>L_authorship</formula1>
    </dataValidation>
    <dataValidation type="list" allowBlank="1" showInputMessage="1" showErrorMessage="1" errorTitle="Choose from the list" error="Pick one of the listed values." promptTitle="Guidance" prompt="Yes when a student or mentee is first author and you are senior or corresponding." sqref="G5:G44" xr:uid="{00000000-0002-0000-0200-000004000000}">
      <formula1>L_yesno</formula1>
    </dataValidation>
    <dataValidation type="whole" allowBlank="1" showInputMessage="1" showErrorMessage="1" errorTitle="Check the value" error="Enter a whole number from 0 to 999." promptTitle="Guidance" prompt="Documented uses in policy, guidelines or practice." sqref="H5:H44" xr:uid="{00000000-0002-0000-0200-000005000000}">
      <formula1>0</formula1>
      <formula2>999</formula2>
    </dataValidation>
    <dataValidation type="list" allowBlank="1" showInputMessage="1" showErrorMessage="1" errorTitle="Choose from the list" error="Pick one of the listed values." promptTitle="Guidance" prompt="Recorded; not scored." sqref="J5:J44" xr:uid="{00000000-0002-0000-0200-000006000000}">
      <formula1>L_quartile</formula1>
    </dataValidation>
    <dataValidation type="decimal" allowBlank="1" showInputMessage="1" showErrorMessage="1" errorTitle="Check the value" error="Enter a number from 0 to 1000." promptTitle="Guidance" prompt="Recorded; not scored." sqref="K5:K44" xr:uid="{00000000-0002-0000-0200-000007000000}">
      <formula1>0</formula1>
      <formula2>1000</formula2>
    </dataValidation>
    <dataValidation type="list" allowBlank="1" showInputMessage="1" showErrorMessage="1" errorTitle="Choose from the list" error="Pick one of the listed values." promptTitle="Guidance" prompt="Yes removes this item from this year's credit." sqref="L5:L44" xr:uid="{00000000-0002-0000-0200-000008000000}">
      <formula1>L_yesno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2" width="22" customWidth="1"/>
    <col min="3" max="3" width="11" customWidth="1"/>
    <col min="4" max="4" width="15" customWidth="1"/>
    <col min="5" max="5" width="16" customWidth="1"/>
    <col min="6" max="6" width="11" customWidth="1"/>
    <col min="7" max="7" width="30" customWidth="1"/>
    <col min="8" max="10" width="11" customWidth="1"/>
    <col min="12" max="12" width="11" customWidth="1"/>
    <col min="13" max="13" width="46" customWidth="1"/>
    <col min="14" max="32" width="11" customWidth="1"/>
    <col min="33" max="33" width="46" customWidth="1"/>
  </cols>
  <sheetData>
    <row r="1" spans="1:33" ht="21" x14ac:dyDescent="0.3">
      <c r="A1" s="1" t="s">
        <v>100</v>
      </c>
    </row>
    <row r="2" spans="1:33" x14ac:dyDescent="0.3">
      <c r="A2" s="2" t="s">
        <v>101</v>
      </c>
    </row>
    <row r="3" spans="1:33" x14ac:dyDescent="0.3">
      <c r="A3" s="2" t="s">
        <v>62</v>
      </c>
      <c r="L3" s="8" t="s">
        <v>63</v>
      </c>
    </row>
    <row r="4" spans="1:33" ht="43.95" customHeight="1" x14ac:dyDescent="0.3">
      <c r="A4" s="9" t="s">
        <v>64</v>
      </c>
      <c r="B4" s="9" t="s">
        <v>102</v>
      </c>
      <c r="C4" s="9" t="s">
        <v>103</v>
      </c>
      <c r="D4" s="9" t="s">
        <v>104</v>
      </c>
      <c r="E4" s="9" t="s">
        <v>83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75</v>
      </c>
      <c r="L4" s="10" t="s">
        <v>76</v>
      </c>
      <c r="M4" s="10" t="s">
        <v>78</v>
      </c>
      <c r="N4" s="10" t="s">
        <v>79</v>
      </c>
      <c r="O4" s="10" t="s">
        <v>109</v>
      </c>
      <c r="P4" s="10" t="s">
        <v>84</v>
      </c>
      <c r="Q4" s="10" t="s">
        <v>110</v>
      </c>
      <c r="R4" s="10" t="s">
        <v>111</v>
      </c>
      <c r="S4" s="10" t="s">
        <v>112</v>
      </c>
      <c r="T4" s="10" t="s">
        <v>105</v>
      </c>
      <c r="U4" s="10" t="s">
        <v>80</v>
      </c>
      <c r="V4" s="10" t="s">
        <v>113</v>
      </c>
      <c r="W4" s="10" t="s">
        <v>114</v>
      </c>
      <c r="X4" s="10" t="s">
        <v>115</v>
      </c>
      <c r="Y4" s="10" t="s">
        <v>116</v>
      </c>
      <c r="Z4" s="10" t="s">
        <v>117</v>
      </c>
      <c r="AA4" s="10" t="s">
        <v>118</v>
      </c>
      <c r="AB4" s="10" t="s">
        <v>119</v>
      </c>
      <c r="AC4" s="10" t="s">
        <v>120</v>
      </c>
      <c r="AD4" s="10" t="s">
        <v>121</v>
      </c>
      <c r="AE4" s="10" t="s">
        <v>122</v>
      </c>
      <c r="AF4" s="10" t="s">
        <v>123</v>
      </c>
      <c r="AG4" s="10" t="s">
        <v>99</v>
      </c>
    </row>
    <row r="5" spans="1:33" x14ac:dyDescent="0.3">
      <c r="A5" s="6"/>
      <c r="B5" s="6"/>
      <c r="C5" s="6"/>
      <c r="D5" s="14"/>
      <c r="E5" s="6"/>
      <c r="F5" s="6"/>
      <c r="G5" s="6"/>
      <c r="H5" s="6"/>
      <c r="I5" s="6"/>
      <c r="J5" s="6"/>
      <c r="L5" s="12">
        <f t="shared" ref="L5:L34" si="0">IF(G5&lt;&gt;"",1,0)</f>
        <v>0</v>
      </c>
      <c r="M5" s="13" t="str">
        <f t="shared" ref="M5:M34" si="1">IF(AND(G5="",OR(A5&lt;&gt;"",B5&lt;&gt;"")),"Choose a status and a role",IF(L5=0,"",IF(E5="","Choose a role (or 'Not yet verified')",IF(AND(G5="Active (awarded in a prior year)",H5="Yes"),"A project awarded in a prior year cannot also be 'submitted this year'. Add a separate row for the new submission",IF(AND(G5&lt;&gt;"Active (awarded in a prior year)",C5&lt;&gt;"Internal",NOT(ISNUMBER(D5))),"Enter the total amount","")))))</f>
        <v/>
      </c>
      <c r="N5" s="12">
        <f t="shared" ref="N5:N34" si="2">IF(AND(L5=1,M5=""),1,0)</f>
        <v>0</v>
      </c>
      <c r="O5" s="12" t="str">
        <f t="shared" ref="O5:O34" si="3">IF(N5=0,"",IF(E5="Not yet verified","collaborator",INDEX(GR_code,MATCH(E5,GR_label,0))))</f>
        <v/>
      </c>
      <c r="P5" s="12">
        <f t="shared" ref="P5:P34" si="4">IF(N5=0,0,INDEX(GR_mult,MATCH(O5,GR_code,0)))</f>
        <v>0</v>
      </c>
      <c r="Q5" s="12">
        <f t="shared" ref="Q5:Q34" si="5">IF(N5=0,0,IF(INDEX(GR_subst,MATCH(O5,GR_code,0))="Yes",1,0))</f>
        <v>0</v>
      </c>
      <c r="R5" s="12">
        <f t="shared" ref="R5:R34" si="6">IF(N5=0,0,IF(INDEX(GR_gate,MATCH(O5,GR_code,0))="Yes",1,0))</f>
        <v>0</v>
      </c>
      <c r="S5" s="12" t="str">
        <f t="shared" ref="S5:S34" si="7">IF(OR(N5=0,G5="Active (awarded in a prior year)"),"",IF(C5="Internal","internal",IF(D5&lt;s_amount_bands_minor_max,"minor",IF(D5&lt;s_amount_bands_large_min,"major","large"))))</f>
        <v/>
      </c>
      <c r="T5" s="12">
        <f t="shared" ref="T5:T34" si="8">IF(F5="No",0,1)</f>
        <v>1</v>
      </c>
      <c r="U5" s="12">
        <f t="shared" ref="U5:U34" si="9">IF(J5="Yes",1,0)</f>
        <v>0</v>
      </c>
      <c r="V5" s="12">
        <f t="shared" ref="V5:V34" si="10">IF(AND(N5=1,G5&lt;&gt;"Active (awarded in a prior year)",OR(G5="Submitted (pending or not funded)",H5="Yes"),U5=0),1,0)</f>
        <v>0</v>
      </c>
      <c r="W5" s="12">
        <f t="shared" ref="W5:W34" si="11">IF(AND(N5=1,G5="Awarded this year",U5=0),1,0)</f>
        <v>0</v>
      </c>
      <c r="X5" s="12">
        <f t="shared" ref="X5:X34" si="12">IF(AND(V5=1,Q5=1,T5=1,OR(S5&lt;&gt;"internal",s_grant_gate_requires_external="No")),1,0)</f>
        <v>0</v>
      </c>
      <c r="Y5" s="12">
        <f t="shared" ref="Y5:Y34" si="13">IF(AND(V5=1,W5=1,s_dedupe_submission_award="Yes"),1,0)</f>
        <v>0</v>
      </c>
      <c r="Z5" s="12">
        <f t="shared" ref="Z5:Z34" si="14">IF(AND(V5=1,Y5=0),INDEX(SZ_sub,MATCH(S5,SZ_band,0))*P5*IF(T5=1,1,s_noncompetitive_mult)+IF(I5="Yes",s_scored_bonus*P5,0),0)</f>
        <v>0</v>
      </c>
      <c r="AA5" s="12">
        <f t="shared" ref="AA5:AA34" si="15">IF(AND(V5=1,Y5=0,X5=0),1,0)</f>
        <v>0</v>
      </c>
      <c r="AB5" s="12">
        <f t="shared" ref="AB5:AB34" si="16">IF(W5=1,INDEX(SZ_award,MATCH(S5,SZ_band,0))*P5*IF(T5=1,1,s_noncompetitive_award_mult),0)</f>
        <v>0</v>
      </c>
      <c r="AC5" s="12">
        <f t="shared" ref="AC5:AC34" si="17">IF(AND(W5=1,R5=1),1,0)</f>
        <v>0</v>
      </c>
      <c r="AD5" s="12">
        <f t="shared" ref="AD5:AD34" si="18">IF(AND(W5=1,R5=0),1,0)</f>
        <v>0</v>
      </c>
      <c r="AE5" s="12">
        <f t="shared" ref="AE5:AE34" si="19">IF(AND(W5=1,S5="large",OR(O5="PI",O5="MPI"),T5=1),1,0)</f>
        <v>0</v>
      </c>
      <c r="AF5" s="12">
        <f t="shared" ref="AF5:AF34" si="20">IF(AND(N5=1,G5="Active (awarded in a prior year)",Q5=1),1,0)</f>
        <v>0</v>
      </c>
      <c r="AG5" s="12" t="str">
        <f t="shared" ref="AG5:AG34" si="21">IF(N5=0,"",IF(U5=1,"Credited in a prior year: no credit this year",IF(E5="Not yet verified","Role not verified: treated as collaborator",IF(Y5=1,"Funded in the same year: credited as an award only",IF(AND(G5="Active (awarded in a prior year)",Q5=0),"Not a substantive role: no implementation credit","")))))</f>
        <v/>
      </c>
    </row>
    <row r="6" spans="1:33" x14ac:dyDescent="0.3">
      <c r="A6" s="6"/>
      <c r="B6" s="6"/>
      <c r="C6" s="6"/>
      <c r="D6" s="14"/>
      <c r="E6" s="6"/>
      <c r="F6" s="6"/>
      <c r="G6" s="6"/>
      <c r="H6" s="6"/>
      <c r="I6" s="6"/>
      <c r="J6" s="6"/>
      <c r="L6" s="12">
        <f t="shared" si="0"/>
        <v>0</v>
      </c>
      <c r="M6" s="13" t="str">
        <f t="shared" si="1"/>
        <v/>
      </c>
      <c r="N6" s="12">
        <f t="shared" si="2"/>
        <v>0</v>
      </c>
      <c r="O6" s="12" t="str">
        <f t="shared" si="3"/>
        <v/>
      </c>
      <c r="P6" s="12">
        <f t="shared" si="4"/>
        <v>0</v>
      </c>
      <c r="Q6" s="12">
        <f t="shared" si="5"/>
        <v>0</v>
      </c>
      <c r="R6" s="12">
        <f t="shared" si="6"/>
        <v>0</v>
      </c>
      <c r="S6" s="12" t="str">
        <f t="shared" si="7"/>
        <v/>
      </c>
      <c r="T6" s="12">
        <f t="shared" si="8"/>
        <v>1</v>
      </c>
      <c r="U6" s="12">
        <f t="shared" si="9"/>
        <v>0</v>
      </c>
      <c r="V6" s="12">
        <f t="shared" si="10"/>
        <v>0</v>
      </c>
      <c r="W6" s="12">
        <f t="shared" si="11"/>
        <v>0</v>
      </c>
      <c r="X6" s="12">
        <f t="shared" si="12"/>
        <v>0</v>
      </c>
      <c r="Y6" s="12">
        <f t="shared" si="13"/>
        <v>0</v>
      </c>
      <c r="Z6" s="12">
        <f t="shared" si="14"/>
        <v>0</v>
      </c>
      <c r="AA6" s="12">
        <f t="shared" si="15"/>
        <v>0</v>
      </c>
      <c r="AB6" s="12">
        <f t="shared" si="16"/>
        <v>0</v>
      </c>
      <c r="AC6" s="12">
        <f t="shared" si="17"/>
        <v>0</v>
      </c>
      <c r="AD6" s="12">
        <f t="shared" si="18"/>
        <v>0</v>
      </c>
      <c r="AE6" s="12">
        <f t="shared" si="19"/>
        <v>0</v>
      </c>
      <c r="AF6" s="12">
        <f t="shared" si="20"/>
        <v>0</v>
      </c>
      <c r="AG6" s="12" t="str">
        <f t="shared" si="21"/>
        <v/>
      </c>
    </row>
    <row r="7" spans="1:33" x14ac:dyDescent="0.3">
      <c r="A7" s="6"/>
      <c r="B7" s="6"/>
      <c r="C7" s="6"/>
      <c r="D7" s="14"/>
      <c r="E7" s="6"/>
      <c r="F7" s="6"/>
      <c r="G7" s="6"/>
      <c r="H7" s="6"/>
      <c r="I7" s="6"/>
      <c r="J7" s="6"/>
      <c r="L7" s="12">
        <f t="shared" si="0"/>
        <v>0</v>
      </c>
      <c r="M7" s="13" t="str">
        <f t="shared" si="1"/>
        <v/>
      </c>
      <c r="N7" s="12">
        <f t="shared" si="2"/>
        <v>0</v>
      </c>
      <c r="O7" s="12" t="str">
        <f t="shared" si="3"/>
        <v/>
      </c>
      <c r="P7" s="12">
        <f t="shared" si="4"/>
        <v>0</v>
      </c>
      <c r="Q7" s="12">
        <f t="shared" si="5"/>
        <v>0</v>
      </c>
      <c r="R7" s="12">
        <f t="shared" si="6"/>
        <v>0</v>
      </c>
      <c r="S7" s="12" t="str">
        <f t="shared" si="7"/>
        <v/>
      </c>
      <c r="T7" s="12">
        <f t="shared" si="8"/>
        <v>1</v>
      </c>
      <c r="U7" s="12">
        <f t="shared" si="9"/>
        <v>0</v>
      </c>
      <c r="V7" s="12">
        <f t="shared" si="10"/>
        <v>0</v>
      </c>
      <c r="W7" s="12">
        <f t="shared" si="11"/>
        <v>0</v>
      </c>
      <c r="X7" s="12">
        <f t="shared" si="12"/>
        <v>0</v>
      </c>
      <c r="Y7" s="12">
        <f t="shared" si="13"/>
        <v>0</v>
      </c>
      <c r="Z7" s="12">
        <f t="shared" si="14"/>
        <v>0</v>
      </c>
      <c r="AA7" s="12">
        <f t="shared" si="15"/>
        <v>0</v>
      </c>
      <c r="AB7" s="12">
        <f t="shared" si="16"/>
        <v>0</v>
      </c>
      <c r="AC7" s="12">
        <f t="shared" si="17"/>
        <v>0</v>
      </c>
      <c r="AD7" s="12">
        <f t="shared" si="18"/>
        <v>0</v>
      </c>
      <c r="AE7" s="12">
        <f t="shared" si="19"/>
        <v>0</v>
      </c>
      <c r="AF7" s="12">
        <f t="shared" si="20"/>
        <v>0</v>
      </c>
      <c r="AG7" s="12" t="str">
        <f t="shared" si="21"/>
        <v/>
      </c>
    </row>
    <row r="8" spans="1:33" x14ac:dyDescent="0.3">
      <c r="A8" s="6"/>
      <c r="B8" s="6"/>
      <c r="C8" s="6"/>
      <c r="D8" s="14"/>
      <c r="E8" s="6"/>
      <c r="F8" s="6"/>
      <c r="G8" s="6"/>
      <c r="H8" s="6"/>
      <c r="I8" s="6"/>
      <c r="J8" s="6"/>
      <c r="L8" s="12">
        <f t="shared" si="0"/>
        <v>0</v>
      </c>
      <c r="M8" s="13" t="str">
        <f t="shared" si="1"/>
        <v/>
      </c>
      <c r="N8" s="12">
        <f t="shared" si="2"/>
        <v>0</v>
      </c>
      <c r="O8" s="12" t="str">
        <f t="shared" si="3"/>
        <v/>
      </c>
      <c r="P8" s="12">
        <f t="shared" si="4"/>
        <v>0</v>
      </c>
      <c r="Q8" s="12">
        <f t="shared" si="5"/>
        <v>0</v>
      </c>
      <c r="R8" s="12">
        <f t="shared" si="6"/>
        <v>0</v>
      </c>
      <c r="S8" s="12" t="str">
        <f t="shared" si="7"/>
        <v/>
      </c>
      <c r="T8" s="12">
        <f t="shared" si="8"/>
        <v>1</v>
      </c>
      <c r="U8" s="12">
        <f t="shared" si="9"/>
        <v>0</v>
      </c>
      <c r="V8" s="12">
        <f t="shared" si="10"/>
        <v>0</v>
      </c>
      <c r="W8" s="12">
        <f t="shared" si="11"/>
        <v>0</v>
      </c>
      <c r="X8" s="12">
        <f t="shared" si="12"/>
        <v>0</v>
      </c>
      <c r="Y8" s="12">
        <f t="shared" si="13"/>
        <v>0</v>
      </c>
      <c r="Z8" s="12">
        <f t="shared" si="14"/>
        <v>0</v>
      </c>
      <c r="AA8" s="12">
        <f t="shared" si="15"/>
        <v>0</v>
      </c>
      <c r="AB8" s="12">
        <f t="shared" si="16"/>
        <v>0</v>
      </c>
      <c r="AC8" s="12">
        <f t="shared" si="17"/>
        <v>0</v>
      </c>
      <c r="AD8" s="12">
        <f t="shared" si="18"/>
        <v>0</v>
      </c>
      <c r="AE8" s="12">
        <f t="shared" si="19"/>
        <v>0</v>
      </c>
      <c r="AF8" s="12">
        <f t="shared" si="20"/>
        <v>0</v>
      </c>
      <c r="AG8" s="12" t="str">
        <f t="shared" si="21"/>
        <v/>
      </c>
    </row>
    <row r="9" spans="1:33" x14ac:dyDescent="0.3">
      <c r="A9" s="6"/>
      <c r="B9" s="6"/>
      <c r="C9" s="6"/>
      <c r="D9" s="14"/>
      <c r="E9" s="6"/>
      <c r="F9" s="6"/>
      <c r="G9" s="6"/>
      <c r="H9" s="6"/>
      <c r="I9" s="6"/>
      <c r="J9" s="6"/>
      <c r="L9" s="12">
        <f t="shared" si="0"/>
        <v>0</v>
      </c>
      <c r="M9" s="13" t="str">
        <f t="shared" si="1"/>
        <v/>
      </c>
      <c r="N9" s="12">
        <f t="shared" si="2"/>
        <v>0</v>
      </c>
      <c r="O9" s="12" t="str">
        <f t="shared" si="3"/>
        <v/>
      </c>
      <c r="P9" s="12">
        <f t="shared" si="4"/>
        <v>0</v>
      </c>
      <c r="Q9" s="12">
        <f t="shared" si="5"/>
        <v>0</v>
      </c>
      <c r="R9" s="12">
        <f t="shared" si="6"/>
        <v>0</v>
      </c>
      <c r="S9" s="12" t="str">
        <f t="shared" si="7"/>
        <v/>
      </c>
      <c r="T9" s="12">
        <f t="shared" si="8"/>
        <v>1</v>
      </c>
      <c r="U9" s="12">
        <f t="shared" si="9"/>
        <v>0</v>
      </c>
      <c r="V9" s="12">
        <f t="shared" si="10"/>
        <v>0</v>
      </c>
      <c r="W9" s="12">
        <f t="shared" si="11"/>
        <v>0</v>
      </c>
      <c r="X9" s="12">
        <f t="shared" si="12"/>
        <v>0</v>
      </c>
      <c r="Y9" s="12">
        <f t="shared" si="13"/>
        <v>0</v>
      </c>
      <c r="Z9" s="12">
        <f t="shared" si="14"/>
        <v>0</v>
      </c>
      <c r="AA9" s="12">
        <f t="shared" si="15"/>
        <v>0</v>
      </c>
      <c r="AB9" s="12">
        <f t="shared" si="16"/>
        <v>0</v>
      </c>
      <c r="AC9" s="12">
        <f t="shared" si="17"/>
        <v>0</v>
      </c>
      <c r="AD9" s="12">
        <f t="shared" si="18"/>
        <v>0</v>
      </c>
      <c r="AE9" s="12">
        <f t="shared" si="19"/>
        <v>0</v>
      </c>
      <c r="AF9" s="12">
        <f t="shared" si="20"/>
        <v>0</v>
      </c>
      <c r="AG9" s="12" t="str">
        <f t="shared" si="21"/>
        <v/>
      </c>
    </row>
    <row r="10" spans="1:33" x14ac:dyDescent="0.3">
      <c r="A10" s="6"/>
      <c r="B10" s="6"/>
      <c r="C10" s="6"/>
      <c r="D10" s="14"/>
      <c r="E10" s="6"/>
      <c r="F10" s="6"/>
      <c r="G10" s="6"/>
      <c r="H10" s="6"/>
      <c r="I10" s="6"/>
      <c r="J10" s="6"/>
      <c r="L10" s="12">
        <f t="shared" si="0"/>
        <v>0</v>
      </c>
      <c r="M10" s="13" t="str">
        <f t="shared" si="1"/>
        <v/>
      </c>
      <c r="N10" s="12">
        <f t="shared" si="2"/>
        <v>0</v>
      </c>
      <c r="O10" s="12" t="str">
        <f t="shared" si="3"/>
        <v/>
      </c>
      <c r="P10" s="12">
        <f t="shared" si="4"/>
        <v>0</v>
      </c>
      <c r="Q10" s="12">
        <f t="shared" si="5"/>
        <v>0</v>
      </c>
      <c r="R10" s="12">
        <f t="shared" si="6"/>
        <v>0</v>
      </c>
      <c r="S10" s="12" t="str">
        <f t="shared" si="7"/>
        <v/>
      </c>
      <c r="T10" s="12">
        <f t="shared" si="8"/>
        <v>1</v>
      </c>
      <c r="U10" s="12">
        <f t="shared" si="9"/>
        <v>0</v>
      </c>
      <c r="V10" s="12">
        <f t="shared" si="10"/>
        <v>0</v>
      </c>
      <c r="W10" s="12">
        <f t="shared" si="11"/>
        <v>0</v>
      </c>
      <c r="X10" s="12">
        <f t="shared" si="12"/>
        <v>0</v>
      </c>
      <c r="Y10" s="12">
        <f t="shared" si="13"/>
        <v>0</v>
      </c>
      <c r="Z10" s="12">
        <f t="shared" si="14"/>
        <v>0</v>
      </c>
      <c r="AA10" s="12">
        <f t="shared" si="15"/>
        <v>0</v>
      </c>
      <c r="AB10" s="12">
        <f t="shared" si="16"/>
        <v>0</v>
      </c>
      <c r="AC10" s="12">
        <f t="shared" si="17"/>
        <v>0</v>
      </c>
      <c r="AD10" s="12">
        <f t="shared" si="18"/>
        <v>0</v>
      </c>
      <c r="AE10" s="12">
        <f t="shared" si="19"/>
        <v>0</v>
      </c>
      <c r="AF10" s="12">
        <f t="shared" si="20"/>
        <v>0</v>
      </c>
      <c r="AG10" s="12" t="str">
        <f t="shared" si="21"/>
        <v/>
      </c>
    </row>
    <row r="11" spans="1:33" x14ac:dyDescent="0.3">
      <c r="A11" s="6"/>
      <c r="B11" s="6"/>
      <c r="C11" s="6"/>
      <c r="D11" s="14"/>
      <c r="E11" s="6"/>
      <c r="F11" s="6"/>
      <c r="G11" s="6"/>
      <c r="H11" s="6"/>
      <c r="I11" s="6"/>
      <c r="J11" s="6"/>
      <c r="L11" s="12">
        <f t="shared" si="0"/>
        <v>0</v>
      </c>
      <c r="M11" s="13" t="str">
        <f t="shared" si="1"/>
        <v/>
      </c>
      <c r="N11" s="12">
        <f t="shared" si="2"/>
        <v>0</v>
      </c>
      <c r="O11" s="12" t="str">
        <f t="shared" si="3"/>
        <v/>
      </c>
      <c r="P11" s="12">
        <f t="shared" si="4"/>
        <v>0</v>
      </c>
      <c r="Q11" s="12">
        <f t="shared" si="5"/>
        <v>0</v>
      </c>
      <c r="R11" s="12">
        <f t="shared" si="6"/>
        <v>0</v>
      </c>
      <c r="S11" s="12" t="str">
        <f t="shared" si="7"/>
        <v/>
      </c>
      <c r="T11" s="12">
        <f t="shared" si="8"/>
        <v>1</v>
      </c>
      <c r="U11" s="12">
        <f t="shared" si="9"/>
        <v>0</v>
      </c>
      <c r="V11" s="12">
        <f t="shared" si="10"/>
        <v>0</v>
      </c>
      <c r="W11" s="12">
        <f t="shared" si="11"/>
        <v>0</v>
      </c>
      <c r="X11" s="12">
        <f t="shared" si="12"/>
        <v>0</v>
      </c>
      <c r="Y11" s="12">
        <f t="shared" si="13"/>
        <v>0</v>
      </c>
      <c r="Z11" s="12">
        <f t="shared" si="14"/>
        <v>0</v>
      </c>
      <c r="AA11" s="12">
        <f t="shared" si="15"/>
        <v>0</v>
      </c>
      <c r="AB11" s="12">
        <f t="shared" si="16"/>
        <v>0</v>
      </c>
      <c r="AC11" s="12">
        <f t="shared" si="17"/>
        <v>0</v>
      </c>
      <c r="AD11" s="12">
        <f t="shared" si="18"/>
        <v>0</v>
      </c>
      <c r="AE11" s="12">
        <f t="shared" si="19"/>
        <v>0</v>
      </c>
      <c r="AF11" s="12">
        <f t="shared" si="20"/>
        <v>0</v>
      </c>
      <c r="AG11" s="12" t="str">
        <f t="shared" si="21"/>
        <v/>
      </c>
    </row>
    <row r="12" spans="1:33" x14ac:dyDescent="0.3">
      <c r="A12" s="6"/>
      <c r="B12" s="6"/>
      <c r="C12" s="6"/>
      <c r="D12" s="14"/>
      <c r="E12" s="6"/>
      <c r="F12" s="6"/>
      <c r="G12" s="6"/>
      <c r="H12" s="6"/>
      <c r="I12" s="6"/>
      <c r="J12" s="6"/>
      <c r="L12" s="12">
        <f t="shared" si="0"/>
        <v>0</v>
      </c>
      <c r="M12" s="13" t="str">
        <f t="shared" si="1"/>
        <v/>
      </c>
      <c r="N12" s="12">
        <f t="shared" si="2"/>
        <v>0</v>
      </c>
      <c r="O12" s="12" t="str">
        <f t="shared" si="3"/>
        <v/>
      </c>
      <c r="P12" s="12">
        <f t="shared" si="4"/>
        <v>0</v>
      </c>
      <c r="Q12" s="12">
        <f t="shared" si="5"/>
        <v>0</v>
      </c>
      <c r="R12" s="12">
        <f t="shared" si="6"/>
        <v>0</v>
      </c>
      <c r="S12" s="12" t="str">
        <f t="shared" si="7"/>
        <v/>
      </c>
      <c r="T12" s="12">
        <f t="shared" si="8"/>
        <v>1</v>
      </c>
      <c r="U12" s="12">
        <f t="shared" si="9"/>
        <v>0</v>
      </c>
      <c r="V12" s="12">
        <f t="shared" si="10"/>
        <v>0</v>
      </c>
      <c r="W12" s="12">
        <f t="shared" si="11"/>
        <v>0</v>
      </c>
      <c r="X12" s="12">
        <f t="shared" si="12"/>
        <v>0</v>
      </c>
      <c r="Y12" s="12">
        <f t="shared" si="13"/>
        <v>0</v>
      </c>
      <c r="Z12" s="12">
        <f t="shared" si="14"/>
        <v>0</v>
      </c>
      <c r="AA12" s="12">
        <f t="shared" si="15"/>
        <v>0</v>
      </c>
      <c r="AB12" s="12">
        <f t="shared" si="16"/>
        <v>0</v>
      </c>
      <c r="AC12" s="12">
        <f t="shared" si="17"/>
        <v>0</v>
      </c>
      <c r="AD12" s="12">
        <f t="shared" si="18"/>
        <v>0</v>
      </c>
      <c r="AE12" s="12">
        <f t="shared" si="19"/>
        <v>0</v>
      </c>
      <c r="AF12" s="12">
        <f t="shared" si="20"/>
        <v>0</v>
      </c>
      <c r="AG12" s="12" t="str">
        <f t="shared" si="21"/>
        <v/>
      </c>
    </row>
    <row r="13" spans="1:33" x14ac:dyDescent="0.3">
      <c r="A13" s="6"/>
      <c r="B13" s="6"/>
      <c r="C13" s="6"/>
      <c r="D13" s="14"/>
      <c r="E13" s="6"/>
      <c r="F13" s="6"/>
      <c r="G13" s="6"/>
      <c r="H13" s="6"/>
      <c r="I13" s="6"/>
      <c r="J13" s="6"/>
      <c r="L13" s="12">
        <f t="shared" si="0"/>
        <v>0</v>
      </c>
      <c r="M13" s="13" t="str">
        <f t="shared" si="1"/>
        <v/>
      </c>
      <c r="N13" s="12">
        <f t="shared" si="2"/>
        <v>0</v>
      </c>
      <c r="O13" s="12" t="str">
        <f t="shared" si="3"/>
        <v/>
      </c>
      <c r="P13" s="12">
        <f t="shared" si="4"/>
        <v>0</v>
      </c>
      <c r="Q13" s="12">
        <f t="shared" si="5"/>
        <v>0</v>
      </c>
      <c r="R13" s="12">
        <f t="shared" si="6"/>
        <v>0</v>
      </c>
      <c r="S13" s="12" t="str">
        <f t="shared" si="7"/>
        <v/>
      </c>
      <c r="T13" s="12">
        <f t="shared" si="8"/>
        <v>1</v>
      </c>
      <c r="U13" s="12">
        <f t="shared" si="9"/>
        <v>0</v>
      </c>
      <c r="V13" s="12">
        <f t="shared" si="10"/>
        <v>0</v>
      </c>
      <c r="W13" s="12">
        <f t="shared" si="11"/>
        <v>0</v>
      </c>
      <c r="X13" s="12">
        <f t="shared" si="12"/>
        <v>0</v>
      </c>
      <c r="Y13" s="12">
        <f t="shared" si="13"/>
        <v>0</v>
      </c>
      <c r="Z13" s="12">
        <f t="shared" si="14"/>
        <v>0</v>
      </c>
      <c r="AA13" s="12">
        <f t="shared" si="15"/>
        <v>0</v>
      </c>
      <c r="AB13" s="12">
        <f t="shared" si="16"/>
        <v>0</v>
      </c>
      <c r="AC13" s="12">
        <f t="shared" si="17"/>
        <v>0</v>
      </c>
      <c r="AD13" s="12">
        <f t="shared" si="18"/>
        <v>0</v>
      </c>
      <c r="AE13" s="12">
        <f t="shared" si="19"/>
        <v>0</v>
      </c>
      <c r="AF13" s="12">
        <f t="shared" si="20"/>
        <v>0</v>
      </c>
      <c r="AG13" s="12" t="str">
        <f t="shared" si="21"/>
        <v/>
      </c>
    </row>
    <row r="14" spans="1:33" x14ac:dyDescent="0.3">
      <c r="A14" s="6"/>
      <c r="B14" s="6"/>
      <c r="C14" s="6"/>
      <c r="D14" s="14"/>
      <c r="E14" s="6"/>
      <c r="F14" s="6"/>
      <c r="G14" s="6"/>
      <c r="H14" s="6"/>
      <c r="I14" s="6"/>
      <c r="J14" s="6"/>
      <c r="L14" s="12">
        <f t="shared" si="0"/>
        <v>0</v>
      </c>
      <c r="M14" s="13" t="str">
        <f t="shared" si="1"/>
        <v/>
      </c>
      <c r="N14" s="12">
        <f t="shared" si="2"/>
        <v>0</v>
      </c>
      <c r="O14" s="12" t="str">
        <f t="shared" si="3"/>
        <v/>
      </c>
      <c r="P14" s="12">
        <f t="shared" si="4"/>
        <v>0</v>
      </c>
      <c r="Q14" s="12">
        <f t="shared" si="5"/>
        <v>0</v>
      </c>
      <c r="R14" s="12">
        <f t="shared" si="6"/>
        <v>0</v>
      </c>
      <c r="S14" s="12" t="str">
        <f t="shared" si="7"/>
        <v/>
      </c>
      <c r="T14" s="12">
        <f t="shared" si="8"/>
        <v>1</v>
      </c>
      <c r="U14" s="12">
        <f t="shared" si="9"/>
        <v>0</v>
      </c>
      <c r="V14" s="12">
        <f t="shared" si="10"/>
        <v>0</v>
      </c>
      <c r="W14" s="12">
        <f t="shared" si="11"/>
        <v>0</v>
      </c>
      <c r="X14" s="12">
        <f t="shared" si="12"/>
        <v>0</v>
      </c>
      <c r="Y14" s="12">
        <f t="shared" si="13"/>
        <v>0</v>
      </c>
      <c r="Z14" s="12">
        <f t="shared" si="14"/>
        <v>0</v>
      </c>
      <c r="AA14" s="12">
        <f t="shared" si="15"/>
        <v>0</v>
      </c>
      <c r="AB14" s="12">
        <f t="shared" si="16"/>
        <v>0</v>
      </c>
      <c r="AC14" s="12">
        <f t="shared" si="17"/>
        <v>0</v>
      </c>
      <c r="AD14" s="12">
        <f t="shared" si="18"/>
        <v>0</v>
      </c>
      <c r="AE14" s="12">
        <f t="shared" si="19"/>
        <v>0</v>
      </c>
      <c r="AF14" s="12">
        <f t="shared" si="20"/>
        <v>0</v>
      </c>
      <c r="AG14" s="12" t="str">
        <f t="shared" si="21"/>
        <v/>
      </c>
    </row>
    <row r="15" spans="1:33" x14ac:dyDescent="0.3">
      <c r="A15" s="6"/>
      <c r="B15" s="6"/>
      <c r="C15" s="6"/>
      <c r="D15" s="14"/>
      <c r="E15" s="6"/>
      <c r="F15" s="6"/>
      <c r="G15" s="6"/>
      <c r="H15" s="6"/>
      <c r="I15" s="6"/>
      <c r="J15" s="6"/>
      <c r="L15" s="12">
        <f t="shared" si="0"/>
        <v>0</v>
      </c>
      <c r="M15" s="13" t="str">
        <f t="shared" si="1"/>
        <v/>
      </c>
      <c r="N15" s="12">
        <f t="shared" si="2"/>
        <v>0</v>
      </c>
      <c r="O15" s="12" t="str">
        <f t="shared" si="3"/>
        <v/>
      </c>
      <c r="P15" s="12">
        <f t="shared" si="4"/>
        <v>0</v>
      </c>
      <c r="Q15" s="12">
        <f t="shared" si="5"/>
        <v>0</v>
      </c>
      <c r="R15" s="12">
        <f t="shared" si="6"/>
        <v>0</v>
      </c>
      <c r="S15" s="12" t="str">
        <f t="shared" si="7"/>
        <v/>
      </c>
      <c r="T15" s="12">
        <f t="shared" si="8"/>
        <v>1</v>
      </c>
      <c r="U15" s="12">
        <f t="shared" si="9"/>
        <v>0</v>
      </c>
      <c r="V15" s="12">
        <f t="shared" si="10"/>
        <v>0</v>
      </c>
      <c r="W15" s="12">
        <f t="shared" si="11"/>
        <v>0</v>
      </c>
      <c r="X15" s="12">
        <f t="shared" si="12"/>
        <v>0</v>
      </c>
      <c r="Y15" s="12">
        <f t="shared" si="13"/>
        <v>0</v>
      </c>
      <c r="Z15" s="12">
        <f t="shared" si="14"/>
        <v>0</v>
      </c>
      <c r="AA15" s="12">
        <f t="shared" si="15"/>
        <v>0</v>
      </c>
      <c r="AB15" s="12">
        <f t="shared" si="16"/>
        <v>0</v>
      </c>
      <c r="AC15" s="12">
        <f t="shared" si="17"/>
        <v>0</v>
      </c>
      <c r="AD15" s="12">
        <f t="shared" si="18"/>
        <v>0</v>
      </c>
      <c r="AE15" s="12">
        <f t="shared" si="19"/>
        <v>0</v>
      </c>
      <c r="AF15" s="12">
        <f t="shared" si="20"/>
        <v>0</v>
      </c>
      <c r="AG15" s="12" t="str">
        <f t="shared" si="21"/>
        <v/>
      </c>
    </row>
    <row r="16" spans="1:33" x14ac:dyDescent="0.3">
      <c r="A16" s="6"/>
      <c r="B16" s="6"/>
      <c r="C16" s="6"/>
      <c r="D16" s="14"/>
      <c r="E16" s="6"/>
      <c r="F16" s="6"/>
      <c r="G16" s="6"/>
      <c r="H16" s="6"/>
      <c r="I16" s="6"/>
      <c r="J16" s="6"/>
      <c r="L16" s="12">
        <f t="shared" si="0"/>
        <v>0</v>
      </c>
      <c r="M16" s="13" t="str">
        <f t="shared" si="1"/>
        <v/>
      </c>
      <c r="N16" s="12">
        <f t="shared" si="2"/>
        <v>0</v>
      </c>
      <c r="O16" s="12" t="str">
        <f t="shared" si="3"/>
        <v/>
      </c>
      <c r="P16" s="12">
        <f t="shared" si="4"/>
        <v>0</v>
      </c>
      <c r="Q16" s="12">
        <f t="shared" si="5"/>
        <v>0</v>
      </c>
      <c r="R16" s="12">
        <f t="shared" si="6"/>
        <v>0</v>
      </c>
      <c r="S16" s="12" t="str">
        <f t="shared" si="7"/>
        <v/>
      </c>
      <c r="T16" s="12">
        <f t="shared" si="8"/>
        <v>1</v>
      </c>
      <c r="U16" s="12">
        <f t="shared" si="9"/>
        <v>0</v>
      </c>
      <c r="V16" s="12">
        <f t="shared" si="10"/>
        <v>0</v>
      </c>
      <c r="W16" s="12">
        <f t="shared" si="11"/>
        <v>0</v>
      </c>
      <c r="X16" s="12">
        <f t="shared" si="12"/>
        <v>0</v>
      </c>
      <c r="Y16" s="12">
        <f t="shared" si="13"/>
        <v>0</v>
      </c>
      <c r="Z16" s="12">
        <f t="shared" si="14"/>
        <v>0</v>
      </c>
      <c r="AA16" s="12">
        <f t="shared" si="15"/>
        <v>0</v>
      </c>
      <c r="AB16" s="12">
        <f t="shared" si="16"/>
        <v>0</v>
      </c>
      <c r="AC16" s="12">
        <f t="shared" si="17"/>
        <v>0</v>
      </c>
      <c r="AD16" s="12">
        <f t="shared" si="18"/>
        <v>0</v>
      </c>
      <c r="AE16" s="12">
        <f t="shared" si="19"/>
        <v>0</v>
      </c>
      <c r="AF16" s="12">
        <f t="shared" si="20"/>
        <v>0</v>
      </c>
      <c r="AG16" s="12" t="str">
        <f t="shared" si="21"/>
        <v/>
      </c>
    </row>
    <row r="17" spans="1:33" x14ac:dyDescent="0.3">
      <c r="A17" s="6"/>
      <c r="B17" s="6"/>
      <c r="C17" s="6"/>
      <c r="D17" s="14"/>
      <c r="E17" s="6"/>
      <c r="F17" s="6"/>
      <c r="G17" s="6"/>
      <c r="H17" s="6"/>
      <c r="I17" s="6"/>
      <c r="J17" s="6"/>
      <c r="L17" s="12">
        <f t="shared" si="0"/>
        <v>0</v>
      </c>
      <c r="M17" s="13" t="str">
        <f t="shared" si="1"/>
        <v/>
      </c>
      <c r="N17" s="12">
        <f t="shared" si="2"/>
        <v>0</v>
      </c>
      <c r="O17" s="12" t="str">
        <f t="shared" si="3"/>
        <v/>
      </c>
      <c r="P17" s="12">
        <f t="shared" si="4"/>
        <v>0</v>
      </c>
      <c r="Q17" s="12">
        <f t="shared" si="5"/>
        <v>0</v>
      </c>
      <c r="R17" s="12">
        <f t="shared" si="6"/>
        <v>0</v>
      </c>
      <c r="S17" s="12" t="str">
        <f t="shared" si="7"/>
        <v/>
      </c>
      <c r="T17" s="12">
        <f t="shared" si="8"/>
        <v>1</v>
      </c>
      <c r="U17" s="12">
        <f t="shared" si="9"/>
        <v>0</v>
      </c>
      <c r="V17" s="12">
        <f t="shared" si="10"/>
        <v>0</v>
      </c>
      <c r="W17" s="12">
        <f t="shared" si="11"/>
        <v>0</v>
      </c>
      <c r="X17" s="12">
        <f t="shared" si="12"/>
        <v>0</v>
      </c>
      <c r="Y17" s="12">
        <f t="shared" si="13"/>
        <v>0</v>
      </c>
      <c r="Z17" s="12">
        <f t="shared" si="14"/>
        <v>0</v>
      </c>
      <c r="AA17" s="12">
        <f t="shared" si="15"/>
        <v>0</v>
      </c>
      <c r="AB17" s="12">
        <f t="shared" si="16"/>
        <v>0</v>
      </c>
      <c r="AC17" s="12">
        <f t="shared" si="17"/>
        <v>0</v>
      </c>
      <c r="AD17" s="12">
        <f t="shared" si="18"/>
        <v>0</v>
      </c>
      <c r="AE17" s="12">
        <f t="shared" si="19"/>
        <v>0</v>
      </c>
      <c r="AF17" s="12">
        <f t="shared" si="20"/>
        <v>0</v>
      </c>
      <c r="AG17" s="12" t="str">
        <f t="shared" si="21"/>
        <v/>
      </c>
    </row>
    <row r="18" spans="1:33" x14ac:dyDescent="0.3">
      <c r="A18" s="6"/>
      <c r="B18" s="6"/>
      <c r="C18" s="6"/>
      <c r="D18" s="14"/>
      <c r="E18" s="6"/>
      <c r="F18" s="6"/>
      <c r="G18" s="6"/>
      <c r="H18" s="6"/>
      <c r="I18" s="6"/>
      <c r="J18" s="6"/>
      <c r="L18" s="12">
        <f t="shared" si="0"/>
        <v>0</v>
      </c>
      <c r="M18" s="13" t="str">
        <f t="shared" si="1"/>
        <v/>
      </c>
      <c r="N18" s="12">
        <f t="shared" si="2"/>
        <v>0</v>
      </c>
      <c r="O18" s="12" t="str">
        <f t="shared" si="3"/>
        <v/>
      </c>
      <c r="P18" s="12">
        <f t="shared" si="4"/>
        <v>0</v>
      </c>
      <c r="Q18" s="12">
        <f t="shared" si="5"/>
        <v>0</v>
      </c>
      <c r="R18" s="12">
        <f t="shared" si="6"/>
        <v>0</v>
      </c>
      <c r="S18" s="12" t="str">
        <f t="shared" si="7"/>
        <v/>
      </c>
      <c r="T18" s="12">
        <f t="shared" si="8"/>
        <v>1</v>
      </c>
      <c r="U18" s="12">
        <f t="shared" si="9"/>
        <v>0</v>
      </c>
      <c r="V18" s="12">
        <f t="shared" si="10"/>
        <v>0</v>
      </c>
      <c r="W18" s="12">
        <f t="shared" si="11"/>
        <v>0</v>
      </c>
      <c r="X18" s="12">
        <f t="shared" si="12"/>
        <v>0</v>
      </c>
      <c r="Y18" s="12">
        <f t="shared" si="13"/>
        <v>0</v>
      </c>
      <c r="Z18" s="12">
        <f t="shared" si="14"/>
        <v>0</v>
      </c>
      <c r="AA18" s="12">
        <f t="shared" si="15"/>
        <v>0</v>
      </c>
      <c r="AB18" s="12">
        <f t="shared" si="16"/>
        <v>0</v>
      </c>
      <c r="AC18" s="12">
        <f t="shared" si="17"/>
        <v>0</v>
      </c>
      <c r="AD18" s="12">
        <f t="shared" si="18"/>
        <v>0</v>
      </c>
      <c r="AE18" s="12">
        <f t="shared" si="19"/>
        <v>0</v>
      </c>
      <c r="AF18" s="12">
        <f t="shared" si="20"/>
        <v>0</v>
      </c>
      <c r="AG18" s="12" t="str">
        <f t="shared" si="21"/>
        <v/>
      </c>
    </row>
    <row r="19" spans="1:33" x14ac:dyDescent="0.3">
      <c r="A19" s="6"/>
      <c r="B19" s="6"/>
      <c r="C19" s="6"/>
      <c r="D19" s="14"/>
      <c r="E19" s="6"/>
      <c r="F19" s="6"/>
      <c r="G19" s="6"/>
      <c r="H19" s="6"/>
      <c r="I19" s="6"/>
      <c r="J19" s="6"/>
      <c r="L19" s="12">
        <f t="shared" si="0"/>
        <v>0</v>
      </c>
      <c r="M19" s="13" t="str">
        <f t="shared" si="1"/>
        <v/>
      </c>
      <c r="N19" s="12">
        <f t="shared" si="2"/>
        <v>0</v>
      </c>
      <c r="O19" s="12" t="str">
        <f t="shared" si="3"/>
        <v/>
      </c>
      <c r="P19" s="12">
        <f t="shared" si="4"/>
        <v>0</v>
      </c>
      <c r="Q19" s="12">
        <f t="shared" si="5"/>
        <v>0</v>
      </c>
      <c r="R19" s="12">
        <f t="shared" si="6"/>
        <v>0</v>
      </c>
      <c r="S19" s="12" t="str">
        <f t="shared" si="7"/>
        <v/>
      </c>
      <c r="T19" s="12">
        <f t="shared" si="8"/>
        <v>1</v>
      </c>
      <c r="U19" s="12">
        <f t="shared" si="9"/>
        <v>0</v>
      </c>
      <c r="V19" s="12">
        <f t="shared" si="10"/>
        <v>0</v>
      </c>
      <c r="W19" s="12">
        <f t="shared" si="11"/>
        <v>0</v>
      </c>
      <c r="X19" s="12">
        <f t="shared" si="12"/>
        <v>0</v>
      </c>
      <c r="Y19" s="12">
        <f t="shared" si="13"/>
        <v>0</v>
      </c>
      <c r="Z19" s="12">
        <f t="shared" si="14"/>
        <v>0</v>
      </c>
      <c r="AA19" s="12">
        <f t="shared" si="15"/>
        <v>0</v>
      </c>
      <c r="AB19" s="12">
        <f t="shared" si="16"/>
        <v>0</v>
      </c>
      <c r="AC19" s="12">
        <f t="shared" si="17"/>
        <v>0</v>
      </c>
      <c r="AD19" s="12">
        <f t="shared" si="18"/>
        <v>0</v>
      </c>
      <c r="AE19" s="12">
        <f t="shared" si="19"/>
        <v>0</v>
      </c>
      <c r="AF19" s="12">
        <f t="shared" si="20"/>
        <v>0</v>
      </c>
      <c r="AG19" s="12" t="str">
        <f t="shared" si="21"/>
        <v/>
      </c>
    </row>
    <row r="20" spans="1:33" x14ac:dyDescent="0.3">
      <c r="A20" s="6"/>
      <c r="B20" s="6"/>
      <c r="C20" s="6"/>
      <c r="D20" s="14"/>
      <c r="E20" s="6"/>
      <c r="F20" s="6"/>
      <c r="G20" s="6"/>
      <c r="H20" s="6"/>
      <c r="I20" s="6"/>
      <c r="J20" s="6"/>
      <c r="L20" s="12">
        <f t="shared" si="0"/>
        <v>0</v>
      </c>
      <c r="M20" s="13" t="str">
        <f t="shared" si="1"/>
        <v/>
      </c>
      <c r="N20" s="12">
        <f t="shared" si="2"/>
        <v>0</v>
      </c>
      <c r="O20" s="12" t="str">
        <f t="shared" si="3"/>
        <v/>
      </c>
      <c r="P20" s="12">
        <f t="shared" si="4"/>
        <v>0</v>
      </c>
      <c r="Q20" s="12">
        <f t="shared" si="5"/>
        <v>0</v>
      </c>
      <c r="R20" s="12">
        <f t="shared" si="6"/>
        <v>0</v>
      </c>
      <c r="S20" s="12" t="str">
        <f t="shared" si="7"/>
        <v/>
      </c>
      <c r="T20" s="12">
        <f t="shared" si="8"/>
        <v>1</v>
      </c>
      <c r="U20" s="12">
        <f t="shared" si="9"/>
        <v>0</v>
      </c>
      <c r="V20" s="12">
        <f t="shared" si="10"/>
        <v>0</v>
      </c>
      <c r="W20" s="12">
        <f t="shared" si="11"/>
        <v>0</v>
      </c>
      <c r="X20" s="12">
        <f t="shared" si="12"/>
        <v>0</v>
      </c>
      <c r="Y20" s="12">
        <f t="shared" si="13"/>
        <v>0</v>
      </c>
      <c r="Z20" s="12">
        <f t="shared" si="14"/>
        <v>0</v>
      </c>
      <c r="AA20" s="12">
        <f t="shared" si="15"/>
        <v>0</v>
      </c>
      <c r="AB20" s="12">
        <f t="shared" si="16"/>
        <v>0</v>
      </c>
      <c r="AC20" s="12">
        <f t="shared" si="17"/>
        <v>0</v>
      </c>
      <c r="AD20" s="12">
        <f t="shared" si="18"/>
        <v>0</v>
      </c>
      <c r="AE20" s="12">
        <f t="shared" si="19"/>
        <v>0</v>
      </c>
      <c r="AF20" s="12">
        <f t="shared" si="20"/>
        <v>0</v>
      </c>
      <c r="AG20" s="12" t="str">
        <f t="shared" si="21"/>
        <v/>
      </c>
    </row>
    <row r="21" spans="1:33" x14ac:dyDescent="0.3">
      <c r="A21" s="6"/>
      <c r="B21" s="6"/>
      <c r="C21" s="6"/>
      <c r="D21" s="14"/>
      <c r="E21" s="6"/>
      <c r="F21" s="6"/>
      <c r="G21" s="6"/>
      <c r="H21" s="6"/>
      <c r="I21" s="6"/>
      <c r="J21" s="6"/>
      <c r="L21" s="12">
        <f t="shared" si="0"/>
        <v>0</v>
      </c>
      <c r="M21" s="13" t="str">
        <f t="shared" si="1"/>
        <v/>
      </c>
      <c r="N21" s="12">
        <f t="shared" si="2"/>
        <v>0</v>
      </c>
      <c r="O21" s="12" t="str">
        <f t="shared" si="3"/>
        <v/>
      </c>
      <c r="P21" s="12">
        <f t="shared" si="4"/>
        <v>0</v>
      </c>
      <c r="Q21" s="12">
        <f t="shared" si="5"/>
        <v>0</v>
      </c>
      <c r="R21" s="12">
        <f t="shared" si="6"/>
        <v>0</v>
      </c>
      <c r="S21" s="12" t="str">
        <f t="shared" si="7"/>
        <v/>
      </c>
      <c r="T21" s="12">
        <f t="shared" si="8"/>
        <v>1</v>
      </c>
      <c r="U21" s="12">
        <f t="shared" si="9"/>
        <v>0</v>
      </c>
      <c r="V21" s="12">
        <f t="shared" si="10"/>
        <v>0</v>
      </c>
      <c r="W21" s="12">
        <f t="shared" si="11"/>
        <v>0</v>
      </c>
      <c r="X21" s="12">
        <f t="shared" si="12"/>
        <v>0</v>
      </c>
      <c r="Y21" s="12">
        <f t="shared" si="13"/>
        <v>0</v>
      </c>
      <c r="Z21" s="12">
        <f t="shared" si="14"/>
        <v>0</v>
      </c>
      <c r="AA21" s="12">
        <f t="shared" si="15"/>
        <v>0</v>
      </c>
      <c r="AB21" s="12">
        <f t="shared" si="16"/>
        <v>0</v>
      </c>
      <c r="AC21" s="12">
        <f t="shared" si="17"/>
        <v>0</v>
      </c>
      <c r="AD21" s="12">
        <f t="shared" si="18"/>
        <v>0</v>
      </c>
      <c r="AE21" s="12">
        <f t="shared" si="19"/>
        <v>0</v>
      </c>
      <c r="AF21" s="12">
        <f t="shared" si="20"/>
        <v>0</v>
      </c>
      <c r="AG21" s="12" t="str">
        <f t="shared" si="21"/>
        <v/>
      </c>
    </row>
    <row r="22" spans="1:33" x14ac:dyDescent="0.3">
      <c r="A22" s="6"/>
      <c r="B22" s="6"/>
      <c r="C22" s="6"/>
      <c r="D22" s="14"/>
      <c r="E22" s="6"/>
      <c r="F22" s="6"/>
      <c r="G22" s="6"/>
      <c r="H22" s="6"/>
      <c r="I22" s="6"/>
      <c r="J22" s="6"/>
      <c r="L22" s="12">
        <f t="shared" si="0"/>
        <v>0</v>
      </c>
      <c r="M22" s="13" t="str">
        <f t="shared" si="1"/>
        <v/>
      </c>
      <c r="N22" s="12">
        <f t="shared" si="2"/>
        <v>0</v>
      </c>
      <c r="O22" s="12" t="str">
        <f t="shared" si="3"/>
        <v/>
      </c>
      <c r="P22" s="12">
        <f t="shared" si="4"/>
        <v>0</v>
      </c>
      <c r="Q22" s="12">
        <f t="shared" si="5"/>
        <v>0</v>
      </c>
      <c r="R22" s="12">
        <f t="shared" si="6"/>
        <v>0</v>
      </c>
      <c r="S22" s="12" t="str">
        <f t="shared" si="7"/>
        <v/>
      </c>
      <c r="T22" s="12">
        <f t="shared" si="8"/>
        <v>1</v>
      </c>
      <c r="U22" s="12">
        <f t="shared" si="9"/>
        <v>0</v>
      </c>
      <c r="V22" s="12">
        <f t="shared" si="10"/>
        <v>0</v>
      </c>
      <c r="W22" s="12">
        <f t="shared" si="11"/>
        <v>0</v>
      </c>
      <c r="X22" s="12">
        <f t="shared" si="12"/>
        <v>0</v>
      </c>
      <c r="Y22" s="12">
        <f t="shared" si="13"/>
        <v>0</v>
      </c>
      <c r="Z22" s="12">
        <f t="shared" si="14"/>
        <v>0</v>
      </c>
      <c r="AA22" s="12">
        <f t="shared" si="15"/>
        <v>0</v>
      </c>
      <c r="AB22" s="12">
        <f t="shared" si="16"/>
        <v>0</v>
      </c>
      <c r="AC22" s="12">
        <f t="shared" si="17"/>
        <v>0</v>
      </c>
      <c r="AD22" s="12">
        <f t="shared" si="18"/>
        <v>0</v>
      </c>
      <c r="AE22" s="12">
        <f t="shared" si="19"/>
        <v>0</v>
      </c>
      <c r="AF22" s="12">
        <f t="shared" si="20"/>
        <v>0</v>
      </c>
      <c r="AG22" s="12" t="str">
        <f t="shared" si="21"/>
        <v/>
      </c>
    </row>
    <row r="23" spans="1:33" x14ac:dyDescent="0.3">
      <c r="A23" s="6"/>
      <c r="B23" s="6"/>
      <c r="C23" s="6"/>
      <c r="D23" s="14"/>
      <c r="E23" s="6"/>
      <c r="F23" s="6"/>
      <c r="G23" s="6"/>
      <c r="H23" s="6"/>
      <c r="I23" s="6"/>
      <c r="J23" s="6"/>
      <c r="L23" s="12">
        <f t="shared" si="0"/>
        <v>0</v>
      </c>
      <c r="M23" s="13" t="str">
        <f t="shared" si="1"/>
        <v/>
      </c>
      <c r="N23" s="12">
        <f t="shared" si="2"/>
        <v>0</v>
      </c>
      <c r="O23" s="12" t="str">
        <f t="shared" si="3"/>
        <v/>
      </c>
      <c r="P23" s="12">
        <f t="shared" si="4"/>
        <v>0</v>
      </c>
      <c r="Q23" s="12">
        <f t="shared" si="5"/>
        <v>0</v>
      </c>
      <c r="R23" s="12">
        <f t="shared" si="6"/>
        <v>0</v>
      </c>
      <c r="S23" s="12" t="str">
        <f t="shared" si="7"/>
        <v/>
      </c>
      <c r="T23" s="12">
        <f t="shared" si="8"/>
        <v>1</v>
      </c>
      <c r="U23" s="12">
        <f t="shared" si="9"/>
        <v>0</v>
      </c>
      <c r="V23" s="12">
        <f t="shared" si="10"/>
        <v>0</v>
      </c>
      <c r="W23" s="12">
        <f t="shared" si="11"/>
        <v>0</v>
      </c>
      <c r="X23" s="12">
        <f t="shared" si="12"/>
        <v>0</v>
      </c>
      <c r="Y23" s="12">
        <f t="shared" si="13"/>
        <v>0</v>
      </c>
      <c r="Z23" s="12">
        <f t="shared" si="14"/>
        <v>0</v>
      </c>
      <c r="AA23" s="12">
        <f t="shared" si="15"/>
        <v>0</v>
      </c>
      <c r="AB23" s="12">
        <f t="shared" si="16"/>
        <v>0</v>
      </c>
      <c r="AC23" s="12">
        <f t="shared" si="17"/>
        <v>0</v>
      </c>
      <c r="AD23" s="12">
        <f t="shared" si="18"/>
        <v>0</v>
      </c>
      <c r="AE23" s="12">
        <f t="shared" si="19"/>
        <v>0</v>
      </c>
      <c r="AF23" s="12">
        <f t="shared" si="20"/>
        <v>0</v>
      </c>
      <c r="AG23" s="12" t="str">
        <f t="shared" si="21"/>
        <v/>
      </c>
    </row>
    <row r="24" spans="1:33" x14ac:dyDescent="0.3">
      <c r="A24" s="6"/>
      <c r="B24" s="6"/>
      <c r="C24" s="6"/>
      <c r="D24" s="14"/>
      <c r="E24" s="6"/>
      <c r="F24" s="6"/>
      <c r="G24" s="6"/>
      <c r="H24" s="6"/>
      <c r="I24" s="6"/>
      <c r="J24" s="6"/>
      <c r="L24" s="12">
        <f t="shared" si="0"/>
        <v>0</v>
      </c>
      <c r="M24" s="13" t="str">
        <f t="shared" si="1"/>
        <v/>
      </c>
      <c r="N24" s="12">
        <f t="shared" si="2"/>
        <v>0</v>
      </c>
      <c r="O24" s="12" t="str">
        <f t="shared" si="3"/>
        <v/>
      </c>
      <c r="P24" s="12">
        <f t="shared" si="4"/>
        <v>0</v>
      </c>
      <c r="Q24" s="12">
        <f t="shared" si="5"/>
        <v>0</v>
      </c>
      <c r="R24" s="12">
        <f t="shared" si="6"/>
        <v>0</v>
      </c>
      <c r="S24" s="12" t="str">
        <f t="shared" si="7"/>
        <v/>
      </c>
      <c r="T24" s="12">
        <f t="shared" si="8"/>
        <v>1</v>
      </c>
      <c r="U24" s="12">
        <f t="shared" si="9"/>
        <v>0</v>
      </c>
      <c r="V24" s="12">
        <f t="shared" si="10"/>
        <v>0</v>
      </c>
      <c r="W24" s="12">
        <f t="shared" si="11"/>
        <v>0</v>
      </c>
      <c r="X24" s="12">
        <f t="shared" si="12"/>
        <v>0</v>
      </c>
      <c r="Y24" s="12">
        <f t="shared" si="13"/>
        <v>0</v>
      </c>
      <c r="Z24" s="12">
        <f t="shared" si="14"/>
        <v>0</v>
      </c>
      <c r="AA24" s="12">
        <f t="shared" si="15"/>
        <v>0</v>
      </c>
      <c r="AB24" s="12">
        <f t="shared" si="16"/>
        <v>0</v>
      </c>
      <c r="AC24" s="12">
        <f t="shared" si="17"/>
        <v>0</v>
      </c>
      <c r="AD24" s="12">
        <f t="shared" si="18"/>
        <v>0</v>
      </c>
      <c r="AE24" s="12">
        <f t="shared" si="19"/>
        <v>0</v>
      </c>
      <c r="AF24" s="12">
        <f t="shared" si="20"/>
        <v>0</v>
      </c>
      <c r="AG24" s="12" t="str">
        <f t="shared" si="21"/>
        <v/>
      </c>
    </row>
    <row r="25" spans="1:33" x14ac:dyDescent="0.3">
      <c r="A25" s="6"/>
      <c r="B25" s="6"/>
      <c r="C25" s="6"/>
      <c r="D25" s="14"/>
      <c r="E25" s="6"/>
      <c r="F25" s="6"/>
      <c r="G25" s="6"/>
      <c r="H25" s="6"/>
      <c r="I25" s="6"/>
      <c r="J25" s="6"/>
      <c r="L25" s="12">
        <f t="shared" si="0"/>
        <v>0</v>
      </c>
      <c r="M25" s="13" t="str">
        <f t="shared" si="1"/>
        <v/>
      </c>
      <c r="N25" s="12">
        <f t="shared" si="2"/>
        <v>0</v>
      </c>
      <c r="O25" s="12" t="str">
        <f t="shared" si="3"/>
        <v/>
      </c>
      <c r="P25" s="12">
        <f t="shared" si="4"/>
        <v>0</v>
      </c>
      <c r="Q25" s="12">
        <f t="shared" si="5"/>
        <v>0</v>
      </c>
      <c r="R25" s="12">
        <f t="shared" si="6"/>
        <v>0</v>
      </c>
      <c r="S25" s="12" t="str">
        <f t="shared" si="7"/>
        <v/>
      </c>
      <c r="T25" s="12">
        <f t="shared" si="8"/>
        <v>1</v>
      </c>
      <c r="U25" s="12">
        <f t="shared" si="9"/>
        <v>0</v>
      </c>
      <c r="V25" s="12">
        <f t="shared" si="10"/>
        <v>0</v>
      </c>
      <c r="W25" s="12">
        <f t="shared" si="11"/>
        <v>0</v>
      </c>
      <c r="X25" s="12">
        <f t="shared" si="12"/>
        <v>0</v>
      </c>
      <c r="Y25" s="12">
        <f t="shared" si="13"/>
        <v>0</v>
      </c>
      <c r="Z25" s="12">
        <f t="shared" si="14"/>
        <v>0</v>
      </c>
      <c r="AA25" s="12">
        <f t="shared" si="15"/>
        <v>0</v>
      </c>
      <c r="AB25" s="12">
        <f t="shared" si="16"/>
        <v>0</v>
      </c>
      <c r="AC25" s="12">
        <f t="shared" si="17"/>
        <v>0</v>
      </c>
      <c r="AD25" s="12">
        <f t="shared" si="18"/>
        <v>0</v>
      </c>
      <c r="AE25" s="12">
        <f t="shared" si="19"/>
        <v>0</v>
      </c>
      <c r="AF25" s="12">
        <f t="shared" si="20"/>
        <v>0</v>
      </c>
      <c r="AG25" s="12" t="str">
        <f t="shared" si="21"/>
        <v/>
      </c>
    </row>
    <row r="26" spans="1:33" x14ac:dyDescent="0.3">
      <c r="A26" s="6"/>
      <c r="B26" s="6"/>
      <c r="C26" s="6"/>
      <c r="D26" s="14"/>
      <c r="E26" s="6"/>
      <c r="F26" s="6"/>
      <c r="G26" s="6"/>
      <c r="H26" s="6"/>
      <c r="I26" s="6"/>
      <c r="J26" s="6"/>
      <c r="L26" s="12">
        <f t="shared" si="0"/>
        <v>0</v>
      </c>
      <c r="M26" s="13" t="str">
        <f t="shared" si="1"/>
        <v/>
      </c>
      <c r="N26" s="12">
        <f t="shared" si="2"/>
        <v>0</v>
      </c>
      <c r="O26" s="12" t="str">
        <f t="shared" si="3"/>
        <v/>
      </c>
      <c r="P26" s="12">
        <f t="shared" si="4"/>
        <v>0</v>
      </c>
      <c r="Q26" s="12">
        <f t="shared" si="5"/>
        <v>0</v>
      </c>
      <c r="R26" s="12">
        <f t="shared" si="6"/>
        <v>0</v>
      </c>
      <c r="S26" s="12" t="str">
        <f t="shared" si="7"/>
        <v/>
      </c>
      <c r="T26" s="12">
        <f t="shared" si="8"/>
        <v>1</v>
      </c>
      <c r="U26" s="12">
        <f t="shared" si="9"/>
        <v>0</v>
      </c>
      <c r="V26" s="12">
        <f t="shared" si="10"/>
        <v>0</v>
      </c>
      <c r="W26" s="12">
        <f t="shared" si="11"/>
        <v>0</v>
      </c>
      <c r="X26" s="12">
        <f t="shared" si="12"/>
        <v>0</v>
      </c>
      <c r="Y26" s="12">
        <f t="shared" si="13"/>
        <v>0</v>
      </c>
      <c r="Z26" s="12">
        <f t="shared" si="14"/>
        <v>0</v>
      </c>
      <c r="AA26" s="12">
        <f t="shared" si="15"/>
        <v>0</v>
      </c>
      <c r="AB26" s="12">
        <f t="shared" si="16"/>
        <v>0</v>
      </c>
      <c r="AC26" s="12">
        <f t="shared" si="17"/>
        <v>0</v>
      </c>
      <c r="AD26" s="12">
        <f t="shared" si="18"/>
        <v>0</v>
      </c>
      <c r="AE26" s="12">
        <f t="shared" si="19"/>
        <v>0</v>
      </c>
      <c r="AF26" s="12">
        <f t="shared" si="20"/>
        <v>0</v>
      </c>
      <c r="AG26" s="12" t="str">
        <f t="shared" si="21"/>
        <v/>
      </c>
    </row>
    <row r="27" spans="1:33" x14ac:dyDescent="0.3">
      <c r="A27" s="6"/>
      <c r="B27" s="6"/>
      <c r="C27" s="6"/>
      <c r="D27" s="14"/>
      <c r="E27" s="6"/>
      <c r="F27" s="6"/>
      <c r="G27" s="6"/>
      <c r="H27" s="6"/>
      <c r="I27" s="6"/>
      <c r="J27" s="6"/>
      <c r="L27" s="12">
        <f t="shared" si="0"/>
        <v>0</v>
      </c>
      <c r="M27" s="13" t="str">
        <f t="shared" si="1"/>
        <v/>
      </c>
      <c r="N27" s="12">
        <f t="shared" si="2"/>
        <v>0</v>
      </c>
      <c r="O27" s="12" t="str">
        <f t="shared" si="3"/>
        <v/>
      </c>
      <c r="P27" s="12">
        <f t="shared" si="4"/>
        <v>0</v>
      </c>
      <c r="Q27" s="12">
        <f t="shared" si="5"/>
        <v>0</v>
      </c>
      <c r="R27" s="12">
        <f t="shared" si="6"/>
        <v>0</v>
      </c>
      <c r="S27" s="12" t="str">
        <f t="shared" si="7"/>
        <v/>
      </c>
      <c r="T27" s="12">
        <f t="shared" si="8"/>
        <v>1</v>
      </c>
      <c r="U27" s="12">
        <f t="shared" si="9"/>
        <v>0</v>
      </c>
      <c r="V27" s="12">
        <f t="shared" si="10"/>
        <v>0</v>
      </c>
      <c r="W27" s="12">
        <f t="shared" si="11"/>
        <v>0</v>
      </c>
      <c r="X27" s="12">
        <f t="shared" si="12"/>
        <v>0</v>
      </c>
      <c r="Y27" s="12">
        <f t="shared" si="13"/>
        <v>0</v>
      </c>
      <c r="Z27" s="12">
        <f t="shared" si="14"/>
        <v>0</v>
      </c>
      <c r="AA27" s="12">
        <f t="shared" si="15"/>
        <v>0</v>
      </c>
      <c r="AB27" s="12">
        <f t="shared" si="16"/>
        <v>0</v>
      </c>
      <c r="AC27" s="12">
        <f t="shared" si="17"/>
        <v>0</v>
      </c>
      <c r="AD27" s="12">
        <f t="shared" si="18"/>
        <v>0</v>
      </c>
      <c r="AE27" s="12">
        <f t="shared" si="19"/>
        <v>0</v>
      </c>
      <c r="AF27" s="12">
        <f t="shared" si="20"/>
        <v>0</v>
      </c>
      <c r="AG27" s="12" t="str">
        <f t="shared" si="21"/>
        <v/>
      </c>
    </row>
    <row r="28" spans="1:33" x14ac:dyDescent="0.3">
      <c r="A28" s="6"/>
      <c r="B28" s="6"/>
      <c r="C28" s="6"/>
      <c r="D28" s="14"/>
      <c r="E28" s="6"/>
      <c r="F28" s="6"/>
      <c r="G28" s="6"/>
      <c r="H28" s="6"/>
      <c r="I28" s="6"/>
      <c r="J28" s="6"/>
      <c r="L28" s="12">
        <f t="shared" si="0"/>
        <v>0</v>
      </c>
      <c r="M28" s="13" t="str">
        <f t="shared" si="1"/>
        <v/>
      </c>
      <c r="N28" s="12">
        <f t="shared" si="2"/>
        <v>0</v>
      </c>
      <c r="O28" s="12" t="str">
        <f t="shared" si="3"/>
        <v/>
      </c>
      <c r="P28" s="12">
        <f t="shared" si="4"/>
        <v>0</v>
      </c>
      <c r="Q28" s="12">
        <f t="shared" si="5"/>
        <v>0</v>
      </c>
      <c r="R28" s="12">
        <f t="shared" si="6"/>
        <v>0</v>
      </c>
      <c r="S28" s="12" t="str">
        <f t="shared" si="7"/>
        <v/>
      </c>
      <c r="T28" s="12">
        <f t="shared" si="8"/>
        <v>1</v>
      </c>
      <c r="U28" s="12">
        <f t="shared" si="9"/>
        <v>0</v>
      </c>
      <c r="V28" s="12">
        <f t="shared" si="10"/>
        <v>0</v>
      </c>
      <c r="W28" s="12">
        <f t="shared" si="11"/>
        <v>0</v>
      </c>
      <c r="X28" s="12">
        <f t="shared" si="12"/>
        <v>0</v>
      </c>
      <c r="Y28" s="12">
        <f t="shared" si="13"/>
        <v>0</v>
      </c>
      <c r="Z28" s="12">
        <f t="shared" si="14"/>
        <v>0</v>
      </c>
      <c r="AA28" s="12">
        <f t="shared" si="15"/>
        <v>0</v>
      </c>
      <c r="AB28" s="12">
        <f t="shared" si="16"/>
        <v>0</v>
      </c>
      <c r="AC28" s="12">
        <f t="shared" si="17"/>
        <v>0</v>
      </c>
      <c r="AD28" s="12">
        <f t="shared" si="18"/>
        <v>0</v>
      </c>
      <c r="AE28" s="12">
        <f t="shared" si="19"/>
        <v>0</v>
      </c>
      <c r="AF28" s="12">
        <f t="shared" si="20"/>
        <v>0</v>
      </c>
      <c r="AG28" s="12" t="str">
        <f t="shared" si="21"/>
        <v/>
      </c>
    </row>
    <row r="29" spans="1:33" x14ac:dyDescent="0.3">
      <c r="A29" s="6"/>
      <c r="B29" s="6"/>
      <c r="C29" s="6"/>
      <c r="D29" s="14"/>
      <c r="E29" s="6"/>
      <c r="F29" s="6"/>
      <c r="G29" s="6"/>
      <c r="H29" s="6"/>
      <c r="I29" s="6"/>
      <c r="J29" s="6"/>
      <c r="L29" s="12">
        <f t="shared" si="0"/>
        <v>0</v>
      </c>
      <c r="M29" s="13" t="str">
        <f t="shared" si="1"/>
        <v/>
      </c>
      <c r="N29" s="12">
        <f t="shared" si="2"/>
        <v>0</v>
      </c>
      <c r="O29" s="12" t="str">
        <f t="shared" si="3"/>
        <v/>
      </c>
      <c r="P29" s="12">
        <f t="shared" si="4"/>
        <v>0</v>
      </c>
      <c r="Q29" s="12">
        <f t="shared" si="5"/>
        <v>0</v>
      </c>
      <c r="R29" s="12">
        <f t="shared" si="6"/>
        <v>0</v>
      </c>
      <c r="S29" s="12" t="str">
        <f t="shared" si="7"/>
        <v/>
      </c>
      <c r="T29" s="12">
        <f t="shared" si="8"/>
        <v>1</v>
      </c>
      <c r="U29" s="12">
        <f t="shared" si="9"/>
        <v>0</v>
      </c>
      <c r="V29" s="12">
        <f t="shared" si="10"/>
        <v>0</v>
      </c>
      <c r="W29" s="12">
        <f t="shared" si="11"/>
        <v>0</v>
      </c>
      <c r="X29" s="12">
        <f t="shared" si="12"/>
        <v>0</v>
      </c>
      <c r="Y29" s="12">
        <f t="shared" si="13"/>
        <v>0</v>
      </c>
      <c r="Z29" s="12">
        <f t="shared" si="14"/>
        <v>0</v>
      </c>
      <c r="AA29" s="12">
        <f t="shared" si="15"/>
        <v>0</v>
      </c>
      <c r="AB29" s="12">
        <f t="shared" si="16"/>
        <v>0</v>
      </c>
      <c r="AC29" s="12">
        <f t="shared" si="17"/>
        <v>0</v>
      </c>
      <c r="AD29" s="12">
        <f t="shared" si="18"/>
        <v>0</v>
      </c>
      <c r="AE29" s="12">
        <f t="shared" si="19"/>
        <v>0</v>
      </c>
      <c r="AF29" s="12">
        <f t="shared" si="20"/>
        <v>0</v>
      </c>
      <c r="AG29" s="12" t="str">
        <f t="shared" si="21"/>
        <v/>
      </c>
    </row>
    <row r="30" spans="1:33" x14ac:dyDescent="0.3">
      <c r="A30" s="6"/>
      <c r="B30" s="6"/>
      <c r="C30" s="6"/>
      <c r="D30" s="14"/>
      <c r="E30" s="6"/>
      <c r="F30" s="6"/>
      <c r="G30" s="6"/>
      <c r="H30" s="6"/>
      <c r="I30" s="6"/>
      <c r="J30" s="6"/>
      <c r="L30" s="12">
        <f t="shared" si="0"/>
        <v>0</v>
      </c>
      <c r="M30" s="13" t="str">
        <f t="shared" si="1"/>
        <v/>
      </c>
      <c r="N30" s="12">
        <f t="shared" si="2"/>
        <v>0</v>
      </c>
      <c r="O30" s="12" t="str">
        <f t="shared" si="3"/>
        <v/>
      </c>
      <c r="P30" s="12">
        <f t="shared" si="4"/>
        <v>0</v>
      </c>
      <c r="Q30" s="12">
        <f t="shared" si="5"/>
        <v>0</v>
      </c>
      <c r="R30" s="12">
        <f t="shared" si="6"/>
        <v>0</v>
      </c>
      <c r="S30" s="12" t="str">
        <f t="shared" si="7"/>
        <v/>
      </c>
      <c r="T30" s="12">
        <f t="shared" si="8"/>
        <v>1</v>
      </c>
      <c r="U30" s="12">
        <f t="shared" si="9"/>
        <v>0</v>
      </c>
      <c r="V30" s="12">
        <f t="shared" si="10"/>
        <v>0</v>
      </c>
      <c r="W30" s="12">
        <f t="shared" si="11"/>
        <v>0</v>
      </c>
      <c r="X30" s="12">
        <f t="shared" si="12"/>
        <v>0</v>
      </c>
      <c r="Y30" s="12">
        <f t="shared" si="13"/>
        <v>0</v>
      </c>
      <c r="Z30" s="12">
        <f t="shared" si="14"/>
        <v>0</v>
      </c>
      <c r="AA30" s="12">
        <f t="shared" si="15"/>
        <v>0</v>
      </c>
      <c r="AB30" s="12">
        <f t="shared" si="16"/>
        <v>0</v>
      </c>
      <c r="AC30" s="12">
        <f t="shared" si="17"/>
        <v>0</v>
      </c>
      <c r="AD30" s="12">
        <f t="shared" si="18"/>
        <v>0</v>
      </c>
      <c r="AE30" s="12">
        <f t="shared" si="19"/>
        <v>0</v>
      </c>
      <c r="AF30" s="12">
        <f t="shared" si="20"/>
        <v>0</v>
      </c>
      <c r="AG30" s="12" t="str">
        <f t="shared" si="21"/>
        <v/>
      </c>
    </row>
    <row r="31" spans="1:33" x14ac:dyDescent="0.3">
      <c r="A31" s="6"/>
      <c r="B31" s="6"/>
      <c r="C31" s="6"/>
      <c r="D31" s="14"/>
      <c r="E31" s="6"/>
      <c r="F31" s="6"/>
      <c r="G31" s="6"/>
      <c r="H31" s="6"/>
      <c r="I31" s="6"/>
      <c r="J31" s="6"/>
      <c r="L31" s="12">
        <f t="shared" si="0"/>
        <v>0</v>
      </c>
      <c r="M31" s="13" t="str">
        <f t="shared" si="1"/>
        <v/>
      </c>
      <c r="N31" s="12">
        <f t="shared" si="2"/>
        <v>0</v>
      </c>
      <c r="O31" s="12" t="str">
        <f t="shared" si="3"/>
        <v/>
      </c>
      <c r="P31" s="12">
        <f t="shared" si="4"/>
        <v>0</v>
      </c>
      <c r="Q31" s="12">
        <f t="shared" si="5"/>
        <v>0</v>
      </c>
      <c r="R31" s="12">
        <f t="shared" si="6"/>
        <v>0</v>
      </c>
      <c r="S31" s="12" t="str">
        <f t="shared" si="7"/>
        <v/>
      </c>
      <c r="T31" s="12">
        <f t="shared" si="8"/>
        <v>1</v>
      </c>
      <c r="U31" s="12">
        <f t="shared" si="9"/>
        <v>0</v>
      </c>
      <c r="V31" s="12">
        <f t="shared" si="10"/>
        <v>0</v>
      </c>
      <c r="W31" s="12">
        <f t="shared" si="11"/>
        <v>0</v>
      </c>
      <c r="X31" s="12">
        <f t="shared" si="12"/>
        <v>0</v>
      </c>
      <c r="Y31" s="12">
        <f t="shared" si="13"/>
        <v>0</v>
      </c>
      <c r="Z31" s="12">
        <f t="shared" si="14"/>
        <v>0</v>
      </c>
      <c r="AA31" s="12">
        <f t="shared" si="15"/>
        <v>0</v>
      </c>
      <c r="AB31" s="12">
        <f t="shared" si="16"/>
        <v>0</v>
      </c>
      <c r="AC31" s="12">
        <f t="shared" si="17"/>
        <v>0</v>
      </c>
      <c r="AD31" s="12">
        <f t="shared" si="18"/>
        <v>0</v>
      </c>
      <c r="AE31" s="12">
        <f t="shared" si="19"/>
        <v>0</v>
      </c>
      <c r="AF31" s="12">
        <f t="shared" si="20"/>
        <v>0</v>
      </c>
      <c r="AG31" s="12" t="str">
        <f t="shared" si="21"/>
        <v/>
      </c>
    </row>
    <row r="32" spans="1:33" x14ac:dyDescent="0.3">
      <c r="A32" s="6"/>
      <c r="B32" s="6"/>
      <c r="C32" s="6"/>
      <c r="D32" s="14"/>
      <c r="E32" s="6"/>
      <c r="F32" s="6"/>
      <c r="G32" s="6"/>
      <c r="H32" s="6"/>
      <c r="I32" s="6"/>
      <c r="J32" s="6"/>
      <c r="L32" s="12">
        <f t="shared" si="0"/>
        <v>0</v>
      </c>
      <c r="M32" s="13" t="str">
        <f t="shared" si="1"/>
        <v/>
      </c>
      <c r="N32" s="12">
        <f t="shared" si="2"/>
        <v>0</v>
      </c>
      <c r="O32" s="12" t="str">
        <f t="shared" si="3"/>
        <v/>
      </c>
      <c r="P32" s="12">
        <f t="shared" si="4"/>
        <v>0</v>
      </c>
      <c r="Q32" s="12">
        <f t="shared" si="5"/>
        <v>0</v>
      </c>
      <c r="R32" s="12">
        <f t="shared" si="6"/>
        <v>0</v>
      </c>
      <c r="S32" s="12" t="str">
        <f t="shared" si="7"/>
        <v/>
      </c>
      <c r="T32" s="12">
        <f t="shared" si="8"/>
        <v>1</v>
      </c>
      <c r="U32" s="12">
        <f t="shared" si="9"/>
        <v>0</v>
      </c>
      <c r="V32" s="12">
        <f t="shared" si="10"/>
        <v>0</v>
      </c>
      <c r="W32" s="12">
        <f t="shared" si="11"/>
        <v>0</v>
      </c>
      <c r="X32" s="12">
        <f t="shared" si="12"/>
        <v>0</v>
      </c>
      <c r="Y32" s="12">
        <f t="shared" si="13"/>
        <v>0</v>
      </c>
      <c r="Z32" s="12">
        <f t="shared" si="14"/>
        <v>0</v>
      </c>
      <c r="AA32" s="12">
        <f t="shared" si="15"/>
        <v>0</v>
      </c>
      <c r="AB32" s="12">
        <f t="shared" si="16"/>
        <v>0</v>
      </c>
      <c r="AC32" s="12">
        <f t="shared" si="17"/>
        <v>0</v>
      </c>
      <c r="AD32" s="12">
        <f t="shared" si="18"/>
        <v>0</v>
      </c>
      <c r="AE32" s="12">
        <f t="shared" si="19"/>
        <v>0</v>
      </c>
      <c r="AF32" s="12">
        <f t="shared" si="20"/>
        <v>0</v>
      </c>
      <c r="AG32" s="12" t="str">
        <f t="shared" si="21"/>
        <v/>
      </c>
    </row>
    <row r="33" spans="1:33" x14ac:dyDescent="0.3">
      <c r="A33" s="6"/>
      <c r="B33" s="6"/>
      <c r="C33" s="6"/>
      <c r="D33" s="14"/>
      <c r="E33" s="6"/>
      <c r="F33" s="6"/>
      <c r="G33" s="6"/>
      <c r="H33" s="6"/>
      <c r="I33" s="6"/>
      <c r="J33" s="6"/>
      <c r="L33" s="12">
        <f t="shared" si="0"/>
        <v>0</v>
      </c>
      <c r="M33" s="13" t="str">
        <f t="shared" si="1"/>
        <v/>
      </c>
      <c r="N33" s="12">
        <f t="shared" si="2"/>
        <v>0</v>
      </c>
      <c r="O33" s="12" t="str">
        <f t="shared" si="3"/>
        <v/>
      </c>
      <c r="P33" s="12">
        <f t="shared" si="4"/>
        <v>0</v>
      </c>
      <c r="Q33" s="12">
        <f t="shared" si="5"/>
        <v>0</v>
      </c>
      <c r="R33" s="12">
        <f t="shared" si="6"/>
        <v>0</v>
      </c>
      <c r="S33" s="12" t="str">
        <f t="shared" si="7"/>
        <v/>
      </c>
      <c r="T33" s="12">
        <f t="shared" si="8"/>
        <v>1</v>
      </c>
      <c r="U33" s="12">
        <f t="shared" si="9"/>
        <v>0</v>
      </c>
      <c r="V33" s="12">
        <f t="shared" si="10"/>
        <v>0</v>
      </c>
      <c r="W33" s="12">
        <f t="shared" si="11"/>
        <v>0</v>
      </c>
      <c r="X33" s="12">
        <f t="shared" si="12"/>
        <v>0</v>
      </c>
      <c r="Y33" s="12">
        <f t="shared" si="13"/>
        <v>0</v>
      </c>
      <c r="Z33" s="12">
        <f t="shared" si="14"/>
        <v>0</v>
      </c>
      <c r="AA33" s="12">
        <f t="shared" si="15"/>
        <v>0</v>
      </c>
      <c r="AB33" s="12">
        <f t="shared" si="16"/>
        <v>0</v>
      </c>
      <c r="AC33" s="12">
        <f t="shared" si="17"/>
        <v>0</v>
      </c>
      <c r="AD33" s="12">
        <f t="shared" si="18"/>
        <v>0</v>
      </c>
      <c r="AE33" s="12">
        <f t="shared" si="19"/>
        <v>0</v>
      </c>
      <c r="AF33" s="12">
        <f t="shared" si="20"/>
        <v>0</v>
      </c>
      <c r="AG33" s="12" t="str">
        <f t="shared" si="21"/>
        <v/>
      </c>
    </row>
    <row r="34" spans="1:33" x14ac:dyDescent="0.3">
      <c r="A34" s="6"/>
      <c r="B34" s="6"/>
      <c r="C34" s="6"/>
      <c r="D34" s="14"/>
      <c r="E34" s="6"/>
      <c r="F34" s="6"/>
      <c r="G34" s="6"/>
      <c r="H34" s="6"/>
      <c r="I34" s="6"/>
      <c r="J34" s="6"/>
      <c r="L34" s="12">
        <f t="shared" si="0"/>
        <v>0</v>
      </c>
      <c r="M34" s="13" t="str">
        <f t="shared" si="1"/>
        <v/>
      </c>
      <c r="N34" s="12">
        <f t="shared" si="2"/>
        <v>0</v>
      </c>
      <c r="O34" s="12" t="str">
        <f t="shared" si="3"/>
        <v/>
      </c>
      <c r="P34" s="12">
        <f t="shared" si="4"/>
        <v>0</v>
      </c>
      <c r="Q34" s="12">
        <f t="shared" si="5"/>
        <v>0</v>
      </c>
      <c r="R34" s="12">
        <f t="shared" si="6"/>
        <v>0</v>
      </c>
      <c r="S34" s="12" t="str">
        <f t="shared" si="7"/>
        <v/>
      </c>
      <c r="T34" s="12">
        <f t="shared" si="8"/>
        <v>1</v>
      </c>
      <c r="U34" s="12">
        <f t="shared" si="9"/>
        <v>0</v>
      </c>
      <c r="V34" s="12">
        <f t="shared" si="10"/>
        <v>0</v>
      </c>
      <c r="W34" s="12">
        <f t="shared" si="11"/>
        <v>0</v>
      </c>
      <c r="X34" s="12">
        <f t="shared" si="12"/>
        <v>0</v>
      </c>
      <c r="Y34" s="12">
        <f t="shared" si="13"/>
        <v>0</v>
      </c>
      <c r="Z34" s="12">
        <f t="shared" si="14"/>
        <v>0</v>
      </c>
      <c r="AA34" s="12">
        <f t="shared" si="15"/>
        <v>0</v>
      </c>
      <c r="AB34" s="12">
        <f t="shared" si="16"/>
        <v>0</v>
      </c>
      <c r="AC34" s="12">
        <f t="shared" si="17"/>
        <v>0</v>
      </c>
      <c r="AD34" s="12">
        <f t="shared" si="18"/>
        <v>0</v>
      </c>
      <c r="AE34" s="12">
        <f t="shared" si="19"/>
        <v>0</v>
      </c>
      <c r="AF34" s="12">
        <f t="shared" si="20"/>
        <v>0</v>
      </c>
      <c r="AG34" s="12" t="str">
        <f t="shared" si="21"/>
        <v/>
      </c>
    </row>
  </sheetData>
  <sheetProtection sheet="1" formatColumns="0" formatRows="0"/>
  <dataValidations count="8">
    <dataValidation type="list" allowBlank="1" showInputMessage="1" showErrorMessage="1" errorTitle="Choose from the list" error="Pick one of the listed values." promptTitle="Guidance" prompt="Blank counts as External." sqref="C5:C34" xr:uid="{00000000-0002-0000-0300-000000000000}">
      <formula1>L_source</formula1>
    </dataValidation>
    <dataValidation type="decimal" allowBlank="1" showInputMessage="1" showErrorMessage="1" errorTitle="Check the value" error="Enter a number from 0 to 10000000000." promptTitle="Guidance" prompt="Total for the full project period. Not needed for internal funding or active projects." sqref="D5:D34" xr:uid="{00000000-0002-0000-0300-000001000000}">
      <formula1>0</formula1>
      <formula2>10000000000</formula2>
    </dataValidation>
    <dataValidation type="list" allowBlank="1" showErrorMessage="1" errorTitle="Choose from the list" error="Pick one of the listed values." sqref="E5:E34" xr:uid="{00000000-0002-0000-0300-000002000000}">
      <formula1>L_grantrole</formula1>
    </dataValidation>
    <dataValidation type="list" allowBlank="1" showInputMessage="1" showErrorMessage="1" errorTitle="Choose from the list" error="Pick one of the listed values." promptTitle="Guidance" prompt="Blank counts as Yes. No for sole-source contracts." sqref="F5:F34" xr:uid="{00000000-0002-0000-0300-000003000000}">
      <formula1>L_yesno</formula1>
    </dataValidation>
    <dataValidation type="list" allowBlank="1" showErrorMessage="1" errorTitle="Choose from the list" error="Pick one of the listed values." sqref="G5:G34" xr:uid="{00000000-0002-0000-0300-000004000000}">
      <formula1>L_status</formula1>
    </dataValidation>
    <dataValidation type="list" allowBlank="1" showInputMessage="1" showErrorMessage="1" errorTitle="Choose from the list" error="Pick one of the listed values." promptTitle="Guidance" prompt="Only for 'Awarded this year'." sqref="H5:H34" xr:uid="{00000000-0002-0000-0300-000005000000}">
      <formula1>L_yesno</formula1>
    </dataValidation>
    <dataValidation type="list" allowBlank="1" showInputMessage="1" showErrorMessage="1" errorTitle="Choose from the list" error="Pick one of the listed values." promptTitle="Guidance" prompt="The proposal received a score or was discussed by the panel." sqref="I5:I34" xr:uid="{00000000-0002-0000-0300-000006000000}">
      <formula1>L_yesno</formula1>
    </dataValidation>
    <dataValidation type="list" allowBlank="1" showInputMessage="1" showErrorMessage="1" errorTitle="Choose from the list" error="Pick one of the listed values." promptTitle="Guidance" prompt="Yes removes this row from this year's credit." sqref="J5:J34" xr:uid="{00000000-0002-0000-0300-000007000000}">
      <formula1>L_yesno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2" width="26" customWidth="1"/>
    <col min="3" max="3" width="16" customWidth="1"/>
    <col min="4" max="4" width="14" customWidth="1"/>
    <col min="5" max="5" width="30" customWidth="1"/>
    <col min="6" max="6" width="24" customWidth="1"/>
    <col min="7" max="7" width="26" customWidth="1"/>
    <col min="8" max="8" width="12" customWidth="1"/>
    <col min="10" max="11" width="11" customWidth="1"/>
    <col min="12" max="12" width="46" customWidth="1"/>
    <col min="13" max="23" width="11" customWidth="1"/>
    <col min="24" max="24" width="46" customWidth="1"/>
  </cols>
  <sheetData>
    <row r="1" spans="1:24" ht="21" x14ac:dyDescent="0.3">
      <c r="A1" s="1" t="s">
        <v>124</v>
      </c>
    </row>
    <row r="2" spans="1:24" x14ac:dyDescent="0.3">
      <c r="A2" s="2" t="s">
        <v>125</v>
      </c>
    </row>
    <row r="3" spans="1:24" x14ac:dyDescent="0.3">
      <c r="A3" s="2" t="s">
        <v>62</v>
      </c>
      <c r="J3" s="8" t="s">
        <v>63</v>
      </c>
    </row>
    <row r="4" spans="1:24" ht="43.95" customHeight="1" x14ac:dyDescent="0.3">
      <c r="A4" s="9" t="s">
        <v>64</v>
      </c>
      <c r="B4" s="9" t="s">
        <v>126</v>
      </c>
      <c r="C4" s="9" t="s">
        <v>127</v>
      </c>
      <c r="D4" s="9" t="s">
        <v>128</v>
      </c>
      <c r="E4" s="9" t="s">
        <v>66</v>
      </c>
      <c r="F4" s="9" t="s">
        <v>129</v>
      </c>
      <c r="G4" s="9" t="s">
        <v>83</v>
      </c>
      <c r="H4" s="9" t="s">
        <v>130</v>
      </c>
      <c r="J4" s="10" t="s">
        <v>76</v>
      </c>
      <c r="K4" s="10" t="s">
        <v>131</v>
      </c>
      <c r="L4" s="10" t="s">
        <v>78</v>
      </c>
      <c r="M4" s="10" t="s">
        <v>79</v>
      </c>
      <c r="N4" s="10" t="s">
        <v>132</v>
      </c>
      <c r="O4" s="10" t="s">
        <v>109</v>
      </c>
      <c r="P4" s="10" t="s">
        <v>84</v>
      </c>
      <c r="Q4" s="10" t="s">
        <v>133</v>
      </c>
      <c r="R4" s="10" t="s">
        <v>134</v>
      </c>
      <c r="S4" s="10" t="s">
        <v>135</v>
      </c>
      <c r="T4" s="10" t="s">
        <v>136</v>
      </c>
      <c r="U4" s="10" t="s">
        <v>137</v>
      </c>
      <c r="V4" s="10" t="s">
        <v>138</v>
      </c>
      <c r="W4" s="10" t="s">
        <v>139</v>
      </c>
      <c r="X4" s="10" t="s">
        <v>99</v>
      </c>
    </row>
    <row r="5" spans="1:24" x14ac:dyDescent="0.3">
      <c r="A5" s="6"/>
      <c r="B5" s="6"/>
      <c r="C5" s="6"/>
      <c r="D5" s="6"/>
      <c r="E5" s="6"/>
      <c r="F5" s="6"/>
      <c r="G5" s="6"/>
      <c r="H5" s="6"/>
      <c r="J5" s="12">
        <f t="shared" ref="J5:J34" si="0">IF(E5&lt;&gt;"",1,0)</f>
        <v>0</v>
      </c>
      <c r="K5" s="12">
        <f t="shared" ref="K5:K34" si="1">IF(J5=0,0,IF(INDEX(PR_local,MATCH(E5,PR_label,0))="Yes",1,0))</f>
        <v>0</v>
      </c>
      <c r="L5" s="13" t="str">
        <f t="shared" ref="L5:L34" si="2">IF(AND(E5="",OR(A5&lt;&gt;"",B5&lt;&gt;"")),"Choose a presentation type and a role",IF(J5=0,"",IF(G5="","Choose a role (or 'Not yet verified')",IF(AND(K5=0,F5=""),"Choose a venue tier (or 'Not yet verified')",""))))</f>
        <v/>
      </c>
      <c r="M5" s="12">
        <f t="shared" ref="M5:M34" si="3">IF(AND(J5=1,L5=""),1,0)</f>
        <v>0</v>
      </c>
      <c r="N5" s="12">
        <f t="shared" ref="N5:N34" si="4">IF(M5=0,0,INDEX(PR_base,MATCH(E5,PR_label,0)))</f>
        <v>0</v>
      </c>
      <c r="O5" s="12" t="str">
        <f t="shared" ref="O5:O34" si="5">IF(M5=0,"",IF(G5="Not yet verified",s_missing_defaults_pres_role,INDEX(RO_code,MATCH(G5,RO_label,0))))</f>
        <v/>
      </c>
      <c r="P5" s="12">
        <f t="shared" ref="P5:P34" si="6">IF(M5=0,0,INDEX(RO_mult,MATCH(O5,RO_code,0)))</f>
        <v>0</v>
      </c>
      <c r="Q5" s="12">
        <f t="shared" ref="Q5:Q34" si="7">IF(M5=0,0,IF(INDEX(RO_gate,MATCH(O5,RO_code,0))="Yes",1,0))</f>
        <v>0</v>
      </c>
      <c r="R5" s="12" t="str">
        <f t="shared" ref="R5:R34" si="8">IF(OR(M5=0,K5=1),"",IF(F5="Not yet verified",s_missing_defaults_venue,INDEX(VN_code,MATCH(F5,VN_label,0))))</f>
        <v/>
      </c>
      <c r="S5" s="12">
        <f t="shared" ref="S5:S34" si="9">IF(R5="",0,INDEX(VN_mult,MATCH(R5,VN_code,0)))</f>
        <v>0</v>
      </c>
      <c r="T5" s="12">
        <f t="shared" ref="T5:T34" si="10">IF(AND(M5=1,K5=1),N5*P5,0)</f>
        <v>0</v>
      </c>
      <c r="U5" s="12">
        <f t="shared" ref="U5:U34" si="11">IF(AND(M5=1,K5=0,R5&lt;&gt;"0"),N5*S5*P5,0)</f>
        <v>0</v>
      </c>
      <c r="V5" s="12">
        <f t="shared" ref="V5:V34" si="12">IF(AND(M5=1,K5=0,R5&lt;&gt;"0",Q5=1),1,0)</f>
        <v>0</v>
      </c>
      <c r="W5" s="12">
        <f t="shared" ref="W5:W34" si="13">IF(M5=0,0,IF(K5=1,1,IF(AND(R5&lt;&gt;"0",Q5=0),1,0)))</f>
        <v>0</v>
      </c>
      <c r="X5" s="12" t="str">
        <f t="shared" ref="X5:X34" si="14">IF(M5=0,"",IF(AND(K5=0,R5="0"),"Questionable venue: not credited",IF(G5="Not yet verified","Role not verified: treated as "&amp;O5,IF(AND(K5=0,F5="Not yet verified"),"Venue tier not verified: treated as Tier "&amp;R5,""))))</f>
        <v/>
      </c>
    </row>
    <row r="6" spans="1:24" x14ac:dyDescent="0.3">
      <c r="A6" s="6"/>
      <c r="B6" s="6"/>
      <c r="C6" s="6"/>
      <c r="D6" s="6"/>
      <c r="E6" s="6"/>
      <c r="F6" s="6"/>
      <c r="G6" s="6"/>
      <c r="H6" s="6"/>
      <c r="J6" s="12">
        <f t="shared" si="0"/>
        <v>0</v>
      </c>
      <c r="K6" s="12">
        <f t="shared" si="1"/>
        <v>0</v>
      </c>
      <c r="L6" s="13" t="str">
        <f t="shared" si="2"/>
        <v/>
      </c>
      <c r="M6" s="12">
        <f t="shared" si="3"/>
        <v>0</v>
      </c>
      <c r="N6" s="12">
        <f t="shared" si="4"/>
        <v>0</v>
      </c>
      <c r="O6" s="12" t="str">
        <f t="shared" si="5"/>
        <v/>
      </c>
      <c r="P6" s="12">
        <f t="shared" si="6"/>
        <v>0</v>
      </c>
      <c r="Q6" s="12">
        <f t="shared" si="7"/>
        <v>0</v>
      </c>
      <c r="R6" s="12" t="str">
        <f t="shared" si="8"/>
        <v/>
      </c>
      <c r="S6" s="12">
        <f t="shared" si="9"/>
        <v>0</v>
      </c>
      <c r="T6" s="12">
        <f t="shared" si="10"/>
        <v>0</v>
      </c>
      <c r="U6" s="12">
        <f t="shared" si="11"/>
        <v>0</v>
      </c>
      <c r="V6" s="12">
        <f t="shared" si="12"/>
        <v>0</v>
      </c>
      <c r="W6" s="12">
        <f t="shared" si="13"/>
        <v>0</v>
      </c>
      <c r="X6" s="12" t="str">
        <f t="shared" si="14"/>
        <v/>
      </c>
    </row>
    <row r="7" spans="1:24" x14ac:dyDescent="0.3">
      <c r="A7" s="6"/>
      <c r="B7" s="6"/>
      <c r="C7" s="6"/>
      <c r="D7" s="6"/>
      <c r="E7" s="6"/>
      <c r="F7" s="6"/>
      <c r="G7" s="6"/>
      <c r="H7" s="6"/>
      <c r="J7" s="12">
        <f t="shared" si="0"/>
        <v>0</v>
      </c>
      <c r="K7" s="12">
        <f t="shared" si="1"/>
        <v>0</v>
      </c>
      <c r="L7" s="13" t="str">
        <f t="shared" si="2"/>
        <v/>
      </c>
      <c r="M7" s="12">
        <f t="shared" si="3"/>
        <v>0</v>
      </c>
      <c r="N7" s="12">
        <f t="shared" si="4"/>
        <v>0</v>
      </c>
      <c r="O7" s="12" t="str">
        <f t="shared" si="5"/>
        <v/>
      </c>
      <c r="P7" s="12">
        <f t="shared" si="6"/>
        <v>0</v>
      </c>
      <c r="Q7" s="12">
        <f t="shared" si="7"/>
        <v>0</v>
      </c>
      <c r="R7" s="12" t="str">
        <f t="shared" si="8"/>
        <v/>
      </c>
      <c r="S7" s="12">
        <f t="shared" si="9"/>
        <v>0</v>
      </c>
      <c r="T7" s="12">
        <f t="shared" si="10"/>
        <v>0</v>
      </c>
      <c r="U7" s="12">
        <f t="shared" si="11"/>
        <v>0</v>
      </c>
      <c r="V7" s="12">
        <f t="shared" si="12"/>
        <v>0</v>
      </c>
      <c r="W7" s="12">
        <f t="shared" si="13"/>
        <v>0</v>
      </c>
      <c r="X7" s="12" t="str">
        <f t="shared" si="14"/>
        <v/>
      </c>
    </row>
    <row r="8" spans="1:24" x14ac:dyDescent="0.3">
      <c r="A8" s="6"/>
      <c r="B8" s="6"/>
      <c r="C8" s="6"/>
      <c r="D8" s="6"/>
      <c r="E8" s="6"/>
      <c r="F8" s="6"/>
      <c r="G8" s="6"/>
      <c r="H8" s="6"/>
      <c r="J8" s="12">
        <f t="shared" si="0"/>
        <v>0</v>
      </c>
      <c r="K8" s="12">
        <f t="shared" si="1"/>
        <v>0</v>
      </c>
      <c r="L8" s="13" t="str">
        <f t="shared" si="2"/>
        <v/>
      </c>
      <c r="M8" s="12">
        <f t="shared" si="3"/>
        <v>0</v>
      </c>
      <c r="N8" s="12">
        <f t="shared" si="4"/>
        <v>0</v>
      </c>
      <c r="O8" s="12" t="str">
        <f t="shared" si="5"/>
        <v/>
      </c>
      <c r="P8" s="12">
        <f t="shared" si="6"/>
        <v>0</v>
      </c>
      <c r="Q8" s="12">
        <f t="shared" si="7"/>
        <v>0</v>
      </c>
      <c r="R8" s="12" t="str">
        <f t="shared" si="8"/>
        <v/>
      </c>
      <c r="S8" s="12">
        <f t="shared" si="9"/>
        <v>0</v>
      </c>
      <c r="T8" s="12">
        <f t="shared" si="10"/>
        <v>0</v>
      </c>
      <c r="U8" s="12">
        <f t="shared" si="11"/>
        <v>0</v>
      </c>
      <c r="V8" s="12">
        <f t="shared" si="12"/>
        <v>0</v>
      </c>
      <c r="W8" s="12">
        <f t="shared" si="13"/>
        <v>0</v>
      </c>
      <c r="X8" s="12" t="str">
        <f t="shared" si="14"/>
        <v/>
      </c>
    </row>
    <row r="9" spans="1:24" x14ac:dyDescent="0.3">
      <c r="A9" s="6"/>
      <c r="B9" s="6"/>
      <c r="C9" s="6"/>
      <c r="D9" s="6"/>
      <c r="E9" s="6"/>
      <c r="F9" s="6"/>
      <c r="G9" s="6"/>
      <c r="H9" s="6"/>
      <c r="J9" s="12">
        <f t="shared" si="0"/>
        <v>0</v>
      </c>
      <c r="K9" s="12">
        <f t="shared" si="1"/>
        <v>0</v>
      </c>
      <c r="L9" s="13" t="str">
        <f t="shared" si="2"/>
        <v/>
      </c>
      <c r="M9" s="12">
        <f t="shared" si="3"/>
        <v>0</v>
      </c>
      <c r="N9" s="12">
        <f t="shared" si="4"/>
        <v>0</v>
      </c>
      <c r="O9" s="12" t="str">
        <f t="shared" si="5"/>
        <v/>
      </c>
      <c r="P9" s="12">
        <f t="shared" si="6"/>
        <v>0</v>
      </c>
      <c r="Q9" s="12">
        <f t="shared" si="7"/>
        <v>0</v>
      </c>
      <c r="R9" s="12" t="str">
        <f t="shared" si="8"/>
        <v/>
      </c>
      <c r="S9" s="12">
        <f t="shared" si="9"/>
        <v>0</v>
      </c>
      <c r="T9" s="12">
        <f t="shared" si="10"/>
        <v>0</v>
      </c>
      <c r="U9" s="12">
        <f t="shared" si="11"/>
        <v>0</v>
      </c>
      <c r="V9" s="12">
        <f t="shared" si="12"/>
        <v>0</v>
      </c>
      <c r="W9" s="12">
        <f t="shared" si="13"/>
        <v>0</v>
      </c>
      <c r="X9" s="12" t="str">
        <f t="shared" si="14"/>
        <v/>
      </c>
    </row>
    <row r="10" spans="1:24" x14ac:dyDescent="0.3">
      <c r="A10" s="6"/>
      <c r="B10" s="6"/>
      <c r="C10" s="6"/>
      <c r="D10" s="6"/>
      <c r="E10" s="6"/>
      <c r="F10" s="6"/>
      <c r="G10" s="6"/>
      <c r="H10" s="6"/>
      <c r="J10" s="12">
        <f t="shared" si="0"/>
        <v>0</v>
      </c>
      <c r="K10" s="12">
        <f t="shared" si="1"/>
        <v>0</v>
      </c>
      <c r="L10" s="13" t="str">
        <f t="shared" si="2"/>
        <v/>
      </c>
      <c r="M10" s="12">
        <f t="shared" si="3"/>
        <v>0</v>
      </c>
      <c r="N10" s="12">
        <f t="shared" si="4"/>
        <v>0</v>
      </c>
      <c r="O10" s="12" t="str">
        <f t="shared" si="5"/>
        <v/>
      </c>
      <c r="P10" s="12">
        <f t="shared" si="6"/>
        <v>0</v>
      </c>
      <c r="Q10" s="12">
        <f t="shared" si="7"/>
        <v>0</v>
      </c>
      <c r="R10" s="12" t="str">
        <f t="shared" si="8"/>
        <v/>
      </c>
      <c r="S10" s="12">
        <f t="shared" si="9"/>
        <v>0</v>
      </c>
      <c r="T10" s="12">
        <f t="shared" si="10"/>
        <v>0</v>
      </c>
      <c r="U10" s="12">
        <f t="shared" si="11"/>
        <v>0</v>
      </c>
      <c r="V10" s="12">
        <f t="shared" si="12"/>
        <v>0</v>
      </c>
      <c r="W10" s="12">
        <f t="shared" si="13"/>
        <v>0</v>
      </c>
      <c r="X10" s="12" t="str">
        <f t="shared" si="14"/>
        <v/>
      </c>
    </row>
    <row r="11" spans="1:24" x14ac:dyDescent="0.3">
      <c r="A11" s="6"/>
      <c r="B11" s="6"/>
      <c r="C11" s="6"/>
      <c r="D11" s="6"/>
      <c r="E11" s="6"/>
      <c r="F11" s="6"/>
      <c r="G11" s="6"/>
      <c r="H11" s="6"/>
      <c r="J11" s="12">
        <f t="shared" si="0"/>
        <v>0</v>
      </c>
      <c r="K11" s="12">
        <f t="shared" si="1"/>
        <v>0</v>
      </c>
      <c r="L11" s="13" t="str">
        <f t="shared" si="2"/>
        <v/>
      </c>
      <c r="M11" s="12">
        <f t="shared" si="3"/>
        <v>0</v>
      </c>
      <c r="N11" s="12">
        <f t="shared" si="4"/>
        <v>0</v>
      </c>
      <c r="O11" s="12" t="str">
        <f t="shared" si="5"/>
        <v/>
      </c>
      <c r="P11" s="12">
        <f t="shared" si="6"/>
        <v>0</v>
      </c>
      <c r="Q11" s="12">
        <f t="shared" si="7"/>
        <v>0</v>
      </c>
      <c r="R11" s="12" t="str">
        <f t="shared" si="8"/>
        <v/>
      </c>
      <c r="S11" s="12">
        <f t="shared" si="9"/>
        <v>0</v>
      </c>
      <c r="T11" s="12">
        <f t="shared" si="10"/>
        <v>0</v>
      </c>
      <c r="U11" s="12">
        <f t="shared" si="11"/>
        <v>0</v>
      </c>
      <c r="V11" s="12">
        <f t="shared" si="12"/>
        <v>0</v>
      </c>
      <c r="W11" s="12">
        <f t="shared" si="13"/>
        <v>0</v>
      </c>
      <c r="X11" s="12" t="str">
        <f t="shared" si="14"/>
        <v/>
      </c>
    </row>
    <row r="12" spans="1:24" x14ac:dyDescent="0.3">
      <c r="A12" s="6"/>
      <c r="B12" s="6"/>
      <c r="C12" s="6"/>
      <c r="D12" s="6"/>
      <c r="E12" s="6"/>
      <c r="F12" s="6"/>
      <c r="G12" s="6"/>
      <c r="H12" s="6"/>
      <c r="J12" s="12">
        <f t="shared" si="0"/>
        <v>0</v>
      </c>
      <c r="K12" s="12">
        <f t="shared" si="1"/>
        <v>0</v>
      </c>
      <c r="L12" s="13" t="str">
        <f t="shared" si="2"/>
        <v/>
      </c>
      <c r="M12" s="12">
        <f t="shared" si="3"/>
        <v>0</v>
      </c>
      <c r="N12" s="12">
        <f t="shared" si="4"/>
        <v>0</v>
      </c>
      <c r="O12" s="12" t="str">
        <f t="shared" si="5"/>
        <v/>
      </c>
      <c r="P12" s="12">
        <f t="shared" si="6"/>
        <v>0</v>
      </c>
      <c r="Q12" s="12">
        <f t="shared" si="7"/>
        <v>0</v>
      </c>
      <c r="R12" s="12" t="str">
        <f t="shared" si="8"/>
        <v/>
      </c>
      <c r="S12" s="12">
        <f t="shared" si="9"/>
        <v>0</v>
      </c>
      <c r="T12" s="12">
        <f t="shared" si="10"/>
        <v>0</v>
      </c>
      <c r="U12" s="12">
        <f t="shared" si="11"/>
        <v>0</v>
      </c>
      <c r="V12" s="12">
        <f t="shared" si="12"/>
        <v>0</v>
      </c>
      <c r="W12" s="12">
        <f t="shared" si="13"/>
        <v>0</v>
      </c>
      <c r="X12" s="12" t="str">
        <f t="shared" si="14"/>
        <v/>
      </c>
    </row>
    <row r="13" spans="1:24" x14ac:dyDescent="0.3">
      <c r="A13" s="6"/>
      <c r="B13" s="6"/>
      <c r="C13" s="6"/>
      <c r="D13" s="6"/>
      <c r="E13" s="6"/>
      <c r="F13" s="6"/>
      <c r="G13" s="6"/>
      <c r="H13" s="6"/>
      <c r="J13" s="12">
        <f t="shared" si="0"/>
        <v>0</v>
      </c>
      <c r="K13" s="12">
        <f t="shared" si="1"/>
        <v>0</v>
      </c>
      <c r="L13" s="13" t="str">
        <f t="shared" si="2"/>
        <v/>
      </c>
      <c r="M13" s="12">
        <f t="shared" si="3"/>
        <v>0</v>
      </c>
      <c r="N13" s="12">
        <f t="shared" si="4"/>
        <v>0</v>
      </c>
      <c r="O13" s="12" t="str">
        <f t="shared" si="5"/>
        <v/>
      </c>
      <c r="P13" s="12">
        <f t="shared" si="6"/>
        <v>0</v>
      </c>
      <c r="Q13" s="12">
        <f t="shared" si="7"/>
        <v>0</v>
      </c>
      <c r="R13" s="12" t="str">
        <f t="shared" si="8"/>
        <v/>
      </c>
      <c r="S13" s="12">
        <f t="shared" si="9"/>
        <v>0</v>
      </c>
      <c r="T13" s="12">
        <f t="shared" si="10"/>
        <v>0</v>
      </c>
      <c r="U13" s="12">
        <f t="shared" si="11"/>
        <v>0</v>
      </c>
      <c r="V13" s="12">
        <f t="shared" si="12"/>
        <v>0</v>
      </c>
      <c r="W13" s="12">
        <f t="shared" si="13"/>
        <v>0</v>
      </c>
      <c r="X13" s="12" t="str">
        <f t="shared" si="14"/>
        <v/>
      </c>
    </row>
    <row r="14" spans="1:24" x14ac:dyDescent="0.3">
      <c r="A14" s="6"/>
      <c r="B14" s="6"/>
      <c r="C14" s="6"/>
      <c r="D14" s="6"/>
      <c r="E14" s="6"/>
      <c r="F14" s="6"/>
      <c r="G14" s="6"/>
      <c r="H14" s="6"/>
      <c r="J14" s="12">
        <f t="shared" si="0"/>
        <v>0</v>
      </c>
      <c r="K14" s="12">
        <f t="shared" si="1"/>
        <v>0</v>
      </c>
      <c r="L14" s="13" t="str">
        <f t="shared" si="2"/>
        <v/>
      </c>
      <c r="M14" s="12">
        <f t="shared" si="3"/>
        <v>0</v>
      </c>
      <c r="N14" s="12">
        <f t="shared" si="4"/>
        <v>0</v>
      </c>
      <c r="O14" s="12" t="str">
        <f t="shared" si="5"/>
        <v/>
      </c>
      <c r="P14" s="12">
        <f t="shared" si="6"/>
        <v>0</v>
      </c>
      <c r="Q14" s="12">
        <f t="shared" si="7"/>
        <v>0</v>
      </c>
      <c r="R14" s="12" t="str">
        <f t="shared" si="8"/>
        <v/>
      </c>
      <c r="S14" s="12">
        <f t="shared" si="9"/>
        <v>0</v>
      </c>
      <c r="T14" s="12">
        <f t="shared" si="10"/>
        <v>0</v>
      </c>
      <c r="U14" s="12">
        <f t="shared" si="11"/>
        <v>0</v>
      </c>
      <c r="V14" s="12">
        <f t="shared" si="12"/>
        <v>0</v>
      </c>
      <c r="W14" s="12">
        <f t="shared" si="13"/>
        <v>0</v>
      </c>
      <c r="X14" s="12" t="str">
        <f t="shared" si="14"/>
        <v/>
      </c>
    </row>
    <row r="15" spans="1:24" x14ac:dyDescent="0.3">
      <c r="A15" s="6"/>
      <c r="B15" s="6"/>
      <c r="C15" s="6"/>
      <c r="D15" s="6"/>
      <c r="E15" s="6"/>
      <c r="F15" s="6"/>
      <c r="G15" s="6"/>
      <c r="H15" s="6"/>
      <c r="J15" s="12">
        <f t="shared" si="0"/>
        <v>0</v>
      </c>
      <c r="K15" s="12">
        <f t="shared" si="1"/>
        <v>0</v>
      </c>
      <c r="L15" s="13" t="str">
        <f t="shared" si="2"/>
        <v/>
      </c>
      <c r="M15" s="12">
        <f t="shared" si="3"/>
        <v>0</v>
      </c>
      <c r="N15" s="12">
        <f t="shared" si="4"/>
        <v>0</v>
      </c>
      <c r="O15" s="12" t="str">
        <f t="shared" si="5"/>
        <v/>
      </c>
      <c r="P15" s="12">
        <f t="shared" si="6"/>
        <v>0</v>
      </c>
      <c r="Q15" s="12">
        <f t="shared" si="7"/>
        <v>0</v>
      </c>
      <c r="R15" s="12" t="str">
        <f t="shared" si="8"/>
        <v/>
      </c>
      <c r="S15" s="12">
        <f t="shared" si="9"/>
        <v>0</v>
      </c>
      <c r="T15" s="12">
        <f t="shared" si="10"/>
        <v>0</v>
      </c>
      <c r="U15" s="12">
        <f t="shared" si="11"/>
        <v>0</v>
      </c>
      <c r="V15" s="12">
        <f t="shared" si="12"/>
        <v>0</v>
      </c>
      <c r="W15" s="12">
        <f t="shared" si="13"/>
        <v>0</v>
      </c>
      <c r="X15" s="12" t="str">
        <f t="shared" si="14"/>
        <v/>
      </c>
    </row>
    <row r="16" spans="1:24" x14ac:dyDescent="0.3">
      <c r="A16" s="6"/>
      <c r="B16" s="6"/>
      <c r="C16" s="6"/>
      <c r="D16" s="6"/>
      <c r="E16" s="6"/>
      <c r="F16" s="6"/>
      <c r="G16" s="6"/>
      <c r="H16" s="6"/>
      <c r="J16" s="12">
        <f t="shared" si="0"/>
        <v>0</v>
      </c>
      <c r="K16" s="12">
        <f t="shared" si="1"/>
        <v>0</v>
      </c>
      <c r="L16" s="13" t="str">
        <f t="shared" si="2"/>
        <v/>
      </c>
      <c r="M16" s="12">
        <f t="shared" si="3"/>
        <v>0</v>
      </c>
      <c r="N16" s="12">
        <f t="shared" si="4"/>
        <v>0</v>
      </c>
      <c r="O16" s="12" t="str">
        <f t="shared" si="5"/>
        <v/>
      </c>
      <c r="P16" s="12">
        <f t="shared" si="6"/>
        <v>0</v>
      </c>
      <c r="Q16" s="12">
        <f t="shared" si="7"/>
        <v>0</v>
      </c>
      <c r="R16" s="12" t="str">
        <f t="shared" si="8"/>
        <v/>
      </c>
      <c r="S16" s="12">
        <f t="shared" si="9"/>
        <v>0</v>
      </c>
      <c r="T16" s="12">
        <f t="shared" si="10"/>
        <v>0</v>
      </c>
      <c r="U16" s="12">
        <f t="shared" si="11"/>
        <v>0</v>
      </c>
      <c r="V16" s="12">
        <f t="shared" si="12"/>
        <v>0</v>
      </c>
      <c r="W16" s="12">
        <f t="shared" si="13"/>
        <v>0</v>
      </c>
      <c r="X16" s="12" t="str">
        <f t="shared" si="14"/>
        <v/>
      </c>
    </row>
    <row r="17" spans="1:24" x14ac:dyDescent="0.3">
      <c r="A17" s="6"/>
      <c r="B17" s="6"/>
      <c r="C17" s="6"/>
      <c r="D17" s="6"/>
      <c r="E17" s="6"/>
      <c r="F17" s="6"/>
      <c r="G17" s="6"/>
      <c r="H17" s="6"/>
      <c r="J17" s="12">
        <f t="shared" si="0"/>
        <v>0</v>
      </c>
      <c r="K17" s="12">
        <f t="shared" si="1"/>
        <v>0</v>
      </c>
      <c r="L17" s="13" t="str">
        <f t="shared" si="2"/>
        <v/>
      </c>
      <c r="M17" s="12">
        <f t="shared" si="3"/>
        <v>0</v>
      </c>
      <c r="N17" s="12">
        <f t="shared" si="4"/>
        <v>0</v>
      </c>
      <c r="O17" s="12" t="str">
        <f t="shared" si="5"/>
        <v/>
      </c>
      <c r="P17" s="12">
        <f t="shared" si="6"/>
        <v>0</v>
      </c>
      <c r="Q17" s="12">
        <f t="shared" si="7"/>
        <v>0</v>
      </c>
      <c r="R17" s="12" t="str">
        <f t="shared" si="8"/>
        <v/>
      </c>
      <c r="S17" s="12">
        <f t="shared" si="9"/>
        <v>0</v>
      </c>
      <c r="T17" s="12">
        <f t="shared" si="10"/>
        <v>0</v>
      </c>
      <c r="U17" s="12">
        <f t="shared" si="11"/>
        <v>0</v>
      </c>
      <c r="V17" s="12">
        <f t="shared" si="12"/>
        <v>0</v>
      </c>
      <c r="W17" s="12">
        <f t="shared" si="13"/>
        <v>0</v>
      </c>
      <c r="X17" s="12" t="str">
        <f t="shared" si="14"/>
        <v/>
      </c>
    </row>
    <row r="18" spans="1:24" x14ac:dyDescent="0.3">
      <c r="A18" s="6"/>
      <c r="B18" s="6"/>
      <c r="C18" s="6"/>
      <c r="D18" s="6"/>
      <c r="E18" s="6"/>
      <c r="F18" s="6"/>
      <c r="G18" s="6"/>
      <c r="H18" s="6"/>
      <c r="J18" s="12">
        <f t="shared" si="0"/>
        <v>0</v>
      </c>
      <c r="K18" s="12">
        <f t="shared" si="1"/>
        <v>0</v>
      </c>
      <c r="L18" s="13" t="str">
        <f t="shared" si="2"/>
        <v/>
      </c>
      <c r="M18" s="12">
        <f t="shared" si="3"/>
        <v>0</v>
      </c>
      <c r="N18" s="12">
        <f t="shared" si="4"/>
        <v>0</v>
      </c>
      <c r="O18" s="12" t="str">
        <f t="shared" si="5"/>
        <v/>
      </c>
      <c r="P18" s="12">
        <f t="shared" si="6"/>
        <v>0</v>
      </c>
      <c r="Q18" s="12">
        <f t="shared" si="7"/>
        <v>0</v>
      </c>
      <c r="R18" s="12" t="str">
        <f t="shared" si="8"/>
        <v/>
      </c>
      <c r="S18" s="12">
        <f t="shared" si="9"/>
        <v>0</v>
      </c>
      <c r="T18" s="12">
        <f t="shared" si="10"/>
        <v>0</v>
      </c>
      <c r="U18" s="12">
        <f t="shared" si="11"/>
        <v>0</v>
      </c>
      <c r="V18" s="12">
        <f t="shared" si="12"/>
        <v>0</v>
      </c>
      <c r="W18" s="12">
        <f t="shared" si="13"/>
        <v>0</v>
      </c>
      <c r="X18" s="12" t="str">
        <f t="shared" si="14"/>
        <v/>
      </c>
    </row>
    <row r="19" spans="1:24" x14ac:dyDescent="0.3">
      <c r="A19" s="6"/>
      <c r="B19" s="6"/>
      <c r="C19" s="6"/>
      <c r="D19" s="6"/>
      <c r="E19" s="6"/>
      <c r="F19" s="6"/>
      <c r="G19" s="6"/>
      <c r="H19" s="6"/>
      <c r="J19" s="12">
        <f t="shared" si="0"/>
        <v>0</v>
      </c>
      <c r="K19" s="12">
        <f t="shared" si="1"/>
        <v>0</v>
      </c>
      <c r="L19" s="13" t="str">
        <f t="shared" si="2"/>
        <v/>
      </c>
      <c r="M19" s="12">
        <f t="shared" si="3"/>
        <v>0</v>
      </c>
      <c r="N19" s="12">
        <f t="shared" si="4"/>
        <v>0</v>
      </c>
      <c r="O19" s="12" t="str">
        <f t="shared" si="5"/>
        <v/>
      </c>
      <c r="P19" s="12">
        <f t="shared" si="6"/>
        <v>0</v>
      </c>
      <c r="Q19" s="12">
        <f t="shared" si="7"/>
        <v>0</v>
      </c>
      <c r="R19" s="12" t="str">
        <f t="shared" si="8"/>
        <v/>
      </c>
      <c r="S19" s="12">
        <f t="shared" si="9"/>
        <v>0</v>
      </c>
      <c r="T19" s="12">
        <f t="shared" si="10"/>
        <v>0</v>
      </c>
      <c r="U19" s="12">
        <f t="shared" si="11"/>
        <v>0</v>
      </c>
      <c r="V19" s="12">
        <f t="shared" si="12"/>
        <v>0</v>
      </c>
      <c r="W19" s="12">
        <f t="shared" si="13"/>
        <v>0</v>
      </c>
      <c r="X19" s="12" t="str">
        <f t="shared" si="14"/>
        <v/>
      </c>
    </row>
    <row r="20" spans="1:24" x14ac:dyDescent="0.3">
      <c r="A20" s="6"/>
      <c r="B20" s="6"/>
      <c r="C20" s="6"/>
      <c r="D20" s="6"/>
      <c r="E20" s="6"/>
      <c r="F20" s="6"/>
      <c r="G20" s="6"/>
      <c r="H20" s="6"/>
      <c r="J20" s="12">
        <f t="shared" si="0"/>
        <v>0</v>
      </c>
      <c r="K20" s="12">
        <f t="shared" si="1"/>
        <v>0</v>
      </c>
      <c r="L20" s="13" t="str">
        <f t="shared" si="2"/>
        <v/>
      </c>
      <c r="M20" s="12">
        <f t="shared" si="3"/>
        <v>0</v>
      </c>
      <c r="N20" s="12">
        <f t="shared" si="4"/>
        <v>0</v>
      </c>
      <c r="O20" s="12" t="str">
        <f t="shared" si="5"/>
        <v/>
      </c>
      <c r="P20" s="12">
        <f t="shared" si="6"/>
        <v>0</v>
      </c>
      <c r="Q20" s="12">
        <f t="shared" si="7"/>
        <v>0</v>
      </c>
      <c r="R20" s="12" t="str">
        <f t="shared" si="8"/>
        <v/>
      </c>
      <c r="S20" s="12">
        <f t="shared" si="9"/>
        <v>0</v>
      </c>
      <c r="T20" s="12">
        <f t="shared" si="10"/>
        <v>0</v>
      </c>
      <c r="U20" s="12">
        <f t="shared" si="11"/>
        <v>0</v>
      </c>
      <c r="V20" s="12">
        <f t="shared" si="12"/>
        <v>0</v>
      </c>
      <c r="W20" s="12">
        <f t="shared" si="13"/>
        <v>0</v>
      </c>
      <c r="X20" s="12" t="str">
        <f t="shared" si="14"/>
        <v/>
      </c>
    </row>
    <row r="21" spans="1:24" x14ac:dyDescent="0.3">
      <c r="A21" s="6"/>
      <c r="B21" s="6"/>
      <c r="C21" s="6"/>
      <c r="D21" s="6"/>
      <c r="E21" s="6"/>
      <c r="F21" s="6"/>
      <c r="G21" s="6"/>
      <c r="H21" s="6"/>
      <c r="J21" s="12">
        <f t="shared" si="0"/>
        <v>0</v>
      </c>
      <c r="K21" s="12">
        <f t="shared" si="1"/>
        <v>0</v>
      </c>
      <c r="L21" s="13" t="str">
        <f t="shared" si="2"/>
        <v/>
      </c>
      <c r="M21" s="12">
        <f t="shared" si="3"/>
        <v>0</v>
      </c>
      <c r="N21" s="12">
        <f t="shared" si="4"/>
        <v>0</v>
      </c>
      <c r="O21" s="12" t="str">
        <f t="shared" si="5"/>
        <v/>
      </c>
      <c r="P21" s="12">
        <f t="shared" si="6"/>
        <v>0</v>
      </c>
      <c r="Q21" s="12">
        <f t="shared" si="7"/>
        <v>0</v>
      </c>
      <c r="R21" s="12" t="str">
        <f t="shared" si="8"/>
        <v/>
      </c>
      <c r="S21" s="12">
        <f t="shared" si="9"/>
        <v>0</v>
      </c>
      <c r="T21" s="12">
        <f t="shared" si="10"/>
        <v>0</v>
      </c>
      <c r="U21" s="12">
        <f t="shared" si="11"/>
        <v>0</v>
      </c>
      <c r="V21" s="12">
        <f t="shared" si="12"/>
        <v>0</v>
      </c>
      <c r="W21" s="12">
        <f t="shared" si="13"/>
        <v>0</v>
      </c>
      <c r="X21" s="12" t="str">
        <f t="shared" si="14"/>
        <v/>
      </c>
    </row>
    <row r="22" spans="1:24" x14ac:dyDescent="0.3">
      <c r="A22" s="6"/>
      <c r="B22" s="6"/>
      <c r="C22" s="6"/>
      <c r="D22" s="6"/>
      <c r="E22" s="6"/>
      <c r="F22" s="6"/>
      <c r="G22" s="6"/>
      <c r="H22" s="6"/>
      <c r="J22" s="12">
        <f t="shared" si="0"/>
        <v>0</v>
      </c>
      <c r="K22" s="12">
        <f t="shared" si="1"/>
        <v>0</v>
      </c>
      <c r="L22" s="13" t="str">
        <f t="shared" si="2"/>
        <v/>
      </c>
      <c r="M22" s="12">
        <f t="shared" si="3"/>
        <v>0</v>
      </c>
      <c r="N22" s="12">
        <f t="shared" si="4"/>
        <v>0</v>
      </c>
      <c r="O22" s="12" t="str">
        <f t="shared" si="5"/>
        <v/>
      </c>
      <c r="P22" s="12">
        <f t="shared" si="6"/>
        <v>0</v>
      </c>
      <c r="Q22" s="12">
        <f t="shared" si="7"/>
        <v>0</v>
      </c>
      <c r="R22" s="12" t="str">
        <f t="shared" si="8"/>
        <v/>
      </c>
      <c r="S22" s="12">
        <f t="shared" si="9"/>
        <v>0</v>
      </c>
      <c r="T22" s="12">
        <f t="shared" si="10"/>
        <v>0</v>
      </c>
      <c r="U22" s="12">
        <f t="shared" si="11"/>
        <v>0</v>
      </c>
      <c r="V22" s="12">
        <f t="shared" si="12"/>
        <v>0</v>
      </c>
      <c r="W22" s="12">
        <f t="shared" si="13"/>
        <v>0</v>
      </c>
      <c r="X22" s="12" t="str">
        <f t="shared" si="14"/>
        <v/>
      </c>
    </row>
    <row r="23" spans="1:24" x14ac:dyDescent="0.3">
      <c r="A23" s="6"/>
      <c r="B23" s="6"/>
      <c r="C23" s="6"/>
      <c r="D23" s="6"/>
      <c r="E23" s="6"/>
      <c r="F23" s="6"/>
      <c r="G23" s="6"/>
      <c r="H23" s="6"/>
      <c r="J23" s="12">
        <f t="shared" si="0"/>
        <v>0</v>
      </c>
      <c r="K23" s="12">
        <f t="shared" si="1"/>
        <v>0</v>
      </c>
      <c r="L23" s="13" t="str">
        <f t="shared" si="2"/>
        <v/>
      </c>
      <c r="M23" s="12">
        <f t="shared" si="3"/>
        <v>0</v>
      </c>
      <c r="N23" s="12">
        <f t="shared" si="4"/>
        <v>0</v>
      </c>
      <c r="O23" s="12" t="str">
        <f t="shared" si="5"/>
        <v/>
      </c>
      <c r="P23" s="12">
        <f t="shared" si="6"/>
        <v>0</v>
      </c>
      <c r="Q23" s="12">
        <f t="shared" si="7"/>
        <v>0</v>
      </c>
      <c r="R23" s="12" t="str">
        <f t="shared" si="8"/>
        <v/>
      </c>
      <c r="S23" s="12">
        <f t="shared" si="9"/>
        <v>0</v>
      </c>
      <c r="T23" s="12">
        <f t="shared" si="10"/>
        <v>0</v>
      </c>
      <c r="U23" s="12">
        <f t="shared" si="11"/>
        <v>0</v>
      </c>
      <c r="V23" s="12">
        <f t="shared" si="12"/>
        <v>0</v>
      </c>
      <c r="W23" s="12">
        <f t="shared" si="13"/>
        <v>0</v>
      </c>
      <c r="X23" s="12" t="str">
        <f t="shared" si="14"/>
        <v/>
      </c>
    </row>
    <row r="24" spans="1:24" x14ac:dyDescent="0.3">
      <c r="A24" s="6"/>
      <c r="B24" s="6"/>
      <c r="C24" s="6"/>
      <c r="D24" s="6"/>
      <c r="E24" s="6"/>
      <c r="F24" s="6"/>
      <c r="G24" s="6"/>
      <c r="H24" s="6"/>
      <c r="J24" s="12">
        <f t="shared" si="0"/>
        <v>0</v>
      </c>
      <c r="K24" s="12">
        <f t="shared" si="1"/>
        <v>0</v>
      </c>
      <c r="L24" s="13" t="str">
        <f t="shared" si="2"/>
        <v/>
      </c>
      <c r="M24" s="12">
        <f t="shared" si="3"/>
        <v>0</v>
      </c>
      <c r="N24" s="12">
        <f t="shared" si="4"/>
        <v>0</v>
      </c>
      <c r="O24" s="12" t="str">
        <f t="shared" si="5"/>
        <v/>
      </c>
      <c r="P24" s="12">
        <f t="shared" si="6"/>
        <v>0</v>
      </c>
      <c r="Q24" s="12">
        <f t="shared" si="7"/>
        <v>0</v>
      </c>
      <c r="R24" s="12" t="str">
        <f t="shared" si="8"/>
        <v/>
      </c>
      <c r="S24" s="12">
        <f t="shared" si="9"/>
        <v>0</v>
      </c>
      <c r="T24" s="12">
        <f t="shared" si="10"/>
        <v>0</v>
      </c>
      <c r="U24" s="12">
        <f t="shared" si="11"/>
        <v>0</v>
      </c>
      <c r="V24" s="12">
        <f t="shared" si="12"/>
        <v>0</v>
      </c>
      <c r="W24" s="12">
        <f t="shared" si="13"/>
        <v>0</v>
      </c>
      <c r="X24" s="12" t="str">
        <f t="shared" si="14"/>
        <v/>
      </c>
    </row>
    <row r="25" spans="1:24" x14ac:dyDescent="0.3">
      <c r="A25" s="6"/>
      <c r="B25" s="6"/>
      <c r="C25" s="6"/>
      <c r="D25" s="6"/>
      <c r="E25" s="6"/>
      <c r="F25" s="6"/>
      <c r="G25" s="6"/>
      <c r="H25" s="6"/>
      <c r="J25" s="12">
        <f t="shared" si="0"/>
        <v>0</v>
      </c>
      <c r="K25" s="12">
        <f t="shared" si="1"/>
        <v>0</v>
      </c>
      <c r="L25" s="13" t="str">
        <f t="shared" si="2"/>
        <v/>
      </c>
      <c r="M25" s="12">
        <f t="shared" si="3"/>
        <v>0</v>
      </c>
      <c r="N25" s="12">
        <f t="shared" si="4"/>
        <v>0</v>
      </c>
      <c r="O25" s="12" t="str">
        <f t="shared" si="5"/>
        <v/>
      </c>
      <c r="P25" s="12">
        <f t="shared" si="6"/>
        <v>0</v>
      </c>
      <c r="Q25" s="12">
        <f t="shared" si="7"/>
        <v>0</v>
      </c>
      <c r="R25" s="12" t="str">
        <f t="shared" si="8"/>
        <v/>
      </c>
      <c r="S25" s="12">
        <f t="shared" si="9"/>
        <v>0</v>
      </c>
      <c r="T25" s="12">
        <f t="shared" si="10"/>
        <v>0</v>
      </c>
      <c r="U25" s="12">
        <f t="shared" si="11"/>
        <v>0</v>
      </c>
      <c r="V25" s="12">
        <f t="shared" si="12"/>
        <v>0</v>
      </c>
      <c r="W25" s="12">
        <f t="shared" si="13"/>
        <v>0</v>
      </c>
      <c r="X25" s="12" t="str">
        <f t="shared" si="14"/>
        <v/>
      </c>
    </row>
    <row r="26" spans="1:24" x14ac:dyDescent="0.3">
      <c r="A26" s="6"/>
      <c r="B26" s="6"/>
      <c r="C26" s="6"/>
      <c r="D26" s="6"/>
      <c r="E26" s="6"/>
      <c r="F26" s="6"/>
      <c r="G26" s="6"/>
      <c r="H26" s="6"/>
      <c r="J26" s="12">
        <f t="shared" si="0"/>
        <v>0</v>
      </c>
      <c r="K26" s="12">
        <f t="shared" si="1"/>
        <v>0</v>
      </c>
      <c r="L26" s="13" t="str">
        <f t="shared" si="2"/>
        <v/>
      </c>
      <c r="M26" s="12">
        <f t="shared" si="3"/>
        <v>0</v>
      </c>
      <c r="N26" s="12">
        <f t="shared" si="4"/>
        <v>0</v>
      </c>
      <c r="O26" s="12" t="str">
        <f t="shared" si="5"/>
        <v/>
      </c>
      <c r="P26" s="12">
        <f t="shared" si="6"/>
        <v>0</v>
      </c>
      <c r="Q26" s="12">
        <f t="shared" si="7"/>
        <v>0</v>
      </c>
      <c r="R26" s="12" t="str">
        <f t="shared" si="8"/>
        <v/>
      </c>
      <c r="S26" s="12">
        <f t="shared" si="9"/>
        <v>0</v>
      </c>
      <c r="T26" s="12">
        <f t="shared" si="10"/>
        <v>0</v>
      </c>
      <c r="U26" s="12">
        <f t="shared" si="11"/>
        <v>0</v>
      </c>
      <c r="V26" s="12">
        <f t="shared" si="12"/>
        <v>0</v>
      </c>
      <c r="W26" s="12">
        <f t="shared" si="13"/>
        <v>0</v>
      </c>
      <c r="X26" s="12" t="str">
        <f t="shared" si="14"/>
        <v/>
      </c>
    </row>
    <row r="27" spans="1:24" x14ac:dyDescent="0.3">
      <c r="A27" s="6"/>
      <c r="B27" s="6"/>
      <c r="C27" s="6"/>
      <c r="D27" s="6"/>
      <c r="E27" s="6"/>
      <c r="F27" s="6"/>
      <c r="G27" s="6"/>
      <c r="H27" s="6"/>
      <c r="J27" s="12">
        <f t="shared" si="0"/>
        <v>0</v>
      </c>
      <c r="K27" s="12">
        <f t="shared" si="1"/>
        <v>0</v>
      </c>
      <c r="L27" s="13" t="str">
        <f t="shared" si="2"/>
        <v/>
      </c>
      <c r="M27" s="12">
        <f t="shared" si="3"/>
        <v>0</v>
      </c>
      <c r="N27" s="12">
        <f t="shared" si="4"/>
        <v>0</v>
      </c>
      <c r="O27" s="12" t="str">
        <f t="shared" si="5"/>
        <v/>
      </c>
      <c r="P27" s="12">
        <f t="shared" si="6"/>
        <v>0</v>
      </c>
      <c r="Q27" s="12">
        <f t="shared" si="7"/>
        <v>0</v>
      </c>
      <c r="R27" s="12" t="str">
        <f t="shared" si="8"/>
        <v/>
      </c>
      <c r="S27" s="12">
        <f t="shared" si="9"/>
        <v>0</v>
      </c>
      <c r="T27" s="12">
        <f t="shared" si="10"/>
        <v>0</v>
      </c>
      <c r="U27" s="12">
        <f t="shared" si="11"/>
        <v>0</v>
      </c>
      <c r="V27" s="12">
        <f t="shared" si="12"/>
        <v>0</v>
      </c>
      <c r="W27" s="12">
        <f t="shared" si="13"/>
        <v>0</v>
      </c>
      <c r="X27" s="12" t="str">
        <f t="shared" si="14"/>
        <v/>
      </c>
    </row>
    <row r="28" spans="1:24" x14ac:dyDescent="0.3">
      <c r="A28" s="6"/>
      <c r="B28" s="6"/>
      <c r="C28" s="6"/>
      <c r="D28" s="6"/>
      <c r="E28" s="6"/>
      <c r="F28" s="6"/>
      <c r="G28" s="6"/>
      <c r="H28" s="6"/>
      <c r="J28" s="12">
        <f t="shared" si="0"/>
        <v>0</v>
      </c>
      <c r="K28" s="12">
        <f t="shared" si="1"/>
        <v>0</v>
      </c>
      <c r="L28" s="13" t="str">
        <f t="shared" si="2"/>
        <v/>
      </c>
      <c r="M28" s="12">
        <f t="shared" si="3"/>
        <v>0</v>
      </c>
      <c r="N28" s="12">
        <f t="shared" si="4"/>
        <v>0</v>
      </c>
      <c r="O28" s="12" t="str">
        <f t="shared" si="5"/>
        <v/>
      </c>
      <c r="P28" s="12">
        <f t="shared" si="6"/>
        <v>0</v>
      </c>
      <c r="Q28" s="12">
        <f t="shared" si="7"/>
        <v>0</v>
      </c>
      <c r="R28" s="12" t="str">
        <f t="shared" si="8"/>
        <v/>
      </c>
      <c r="S28" s="12">
        <f t="shared" si="9"/>
        <v>0</v>
      </c>
      <c r="T28" s="12">
        <f t="shared" si="10"/>
        <v>0</v>
      </c>
      <c r="U28" s="12">
        <f t="shared" si="11"/>
        <v>0</v>
      </c>
      <c r="V28" s="12">
        <f t="shared" si="12"/>
        <v>0</v>
      </c>
      <c r="W28" s="12">
        <f t="shared" si="13"/>
        <v>0</v>
      </c>
      <c r="X28" s="12" t="str">
        <f t="shared" si="14"/>
        <v/>
      </c>
    </row>
    <row r="29" spans="1:24" x14ac:dyDescent="0.3">
      <c r="A29" s="6"/>
      <c r="B29" s="6"/>
      <c r="C29" s="6"/>
      <c r="D29" s="6"/>
      <c r="E29" s="6"/>
      <c r="F29" s="6"/>
      <c r="G29" s="6"/>
      <c r="H29" s="6"/>
      <c r="J29" s="12">
        <f t="shared" si="0"/>
        <v>0</v>
      </c>
      <c r="K29" s="12">
        <f t="shared" si="1"/>
        <v>0</v>
      </c>
      <c r="L29" s="13" t="str">
        <f t="shared" si="2"/>
        <v/>
      </c>
      <c r="M29" s="12">
        <f t="shared" si="3"/>
        <v>0</v>
      </c>
      <c r="N29" s="12">
        <f t="shared" si="4"/>
        <v>0</v>
      </c>
      <c r="O29" s="12" t="str">
        <f t="shared" si="5"/>
        <v/>
      </c>
      <c r="P29" s="12">
        <f t="shared" si="6"/>
        <v>0</v>
      </c>
      <c r="Q29" s="12">
        <f t="shared" si="7"/>
        <v>0</v>
      </c>
      <c r="R29" s="12" t="str">
        <f t="shared" si="8"/>
        <v/>
      </c>
      <c r="S29" s="12">
        <f t="shared" si="9"/>
        <v>0</v>
      </c>
      <c r="T29" s="12">
        <f t="shared" si="10"/>
        <v>0</v>
      </c>
      <c r="U29" s="12">
        <f t="shared" si="11"/>
        <v>0</v>
      </c>
      <c r="V29" s="12">
        <f t="shared" si="12"/>
        <v>0</v>
      </c>
      <c r="W29" s="12">
        <f t="shared" si="13"/>
        <v>0</v>
      </c>
      <c r="X29" s="12" t="str">
        <f t="shared" si="14"/>
        <v/>
      </c>
    </row>
    <row r="30" spans="1:24" x14ac:dyDescent="0.3">
      <c r="A30" s="6"/>
      <c r="B30" s="6"/>
      <c r="C30" s="6"/>
      <c r="D30" s="6"/>
      <c r="E30" s="6"/>
      <c r="F30" s="6"/>
      <c r="G30" s="6"/>
      <c r="H30" s="6"/>
      <c r="J30" s="12">
        <f t="shared" si="0"/>
        <v>0</v>
      </c>
      <c r="K30" s="12">
        <f t="shared" si="1"/>
        <v>0</v>
      </c>
      <c r="L30" s="13" t="str">
        <f t="shared" si="2"/>
        <v/>
      </c>
      <c r="M30" s="12">
        <f t="shared" si="3"/>
        <v>0</v>
      </c>
      <c r="N30" s="12">
        <f t="shared" si="4"/>
        <v>0</v>
      </c>
      <c r="O30" s="12" t="str">
        <f t="shared" si="5"/>
        <v/>
      </c>
      <c r="P30" s="12">
        <f t="shared" si="6"/>
        <v>0</v>
      </c>
      <c r="Q30" s="12">
        <f t="shared" si="7"/>
        <v>0</v>
      </c>
      <c r="R30" s="12" t="str">
        <f t="shared" si="8"/>
        <v/>
      </c>
      <c r="S30" s="12">
        <f t="shared" si="9"/>
        <v>0</v>
      </c>
      <c r="T30" s="12">
        <f t="shared" si="10"/>
        <v>0</v>
      </c>
      <c r="U30" s="12">
        <f t="shared" si="11"/>
        <v>0</v>
      </c>
      <c r="V30" s="12">
        <f t="shared" si="12"/>
        <v>0</v>
      </c>
      <c r="W30" s="12">
        <f t="shared" si="13"/>
        <v>0</v>
      </c>
      <c r="X30" s="12" t="str">
        <f t="shared" si="14"/>
        <v/>
      </c>
    </row>
    <row r="31" spans="1:24" x14ac:dyDescent="0.3">
      <c r="A31" s="6"/>
      <c r="B31" s="6"/>
      <c r="C31" s="6"/>
      <c r="D31" s="6"/>
      <c r="E31" s="6"/>
      <c r="F31" s="6"/>
      <c r="G31" s="6"/>
      <c r="H31" s="6"/>
      <c r="J31" s="12">
        <f t="shared" si="0"/>
        <v>0</v>
      </c>
      <c r="K31" s="12">
        <f t="shared" si="1"/>
        <v>0</v>
      </c>
      <c r="L31" s="13" t="str">
        <f t="shared" si="2"/>
        <v/>
      </c>
      <c r="M31" s="12">
        <f t="shared" si="3"/>
        <v>0</v>
      </c>
      <c r="N31" s="12">
        <f t="shared" si="4"/>
        <v>0</v>
      </c>
      <c r="O31" s="12" t="str">
        <f t="shared" si="5"/>
        <v/>
      </c>
      <c r="P31" s="12">
        <f t="shared" si="6"/>
        <v>0</v>
      </c>
      <c r="Q31" s="12">
        <f t="shared" si="7"/>
        <v>0</v>
      </c>
      <c r="R31" s="12" t="str">
        <f t="shared" si="8"/>
        <v/>
      </c>
      <c r="S31" s="12">
        <f t="shared" si="9"/>
        <v>0</v>
      </c>
      <c r="T31" s="12">
        <f t="shared" si="10"/>
        <v>0</v>
      </c>
      <c r="U31" s="12">
        <f t="shared" si="11"/>
        <v>0</v>
      </c>
      <c r="V31" s="12">
        <f t="shared" si="12"/>
        <v>0</v>
      </c>
      <c r="W31" s="12">
        <f t="shared" si="13"/>
        <v>0</v>
      </c>
      <c r="X31" s="12" t="str">
        <f t="shared" si="14"/>
        <v/>
      </c>
    </row>
    <row r="32" spans="1:24" x14ac:dyDescent="0.3">
      <c r="A32" s="6"/>
      <c r="B32" s="6"/>
      <c r="C32" s="6"/>
      <c r="D32" s="6"/>
      <c r="E32" s="6"/>
      <c r="F32" s="6"/>
      <c r="G32" s="6"/>
      <c r="H32" s="6"/>
      <c r="J32" s="12">
        <f t="shared" si="0"/>
        <v>0</v>
      </c>
      <c r="K32" s="12">
        <f t="shared" si="1"/>
        <v>0</v>
      </c>
      <c r="L32" s="13" t="str">
        <f t="shared" si="2"/>
        <v/>
      </c>
      <c r="M32" s="12">
        <f t="shared" si="3"/>
        <v>0</v>
      </c>
      <c r="N32" s="12">
        <f t="shared" si="4"/>
        <v>0</v>
      </c>
      <c r="O32" s="12" t="str">
        <f t="shared" si="5"/>
        <v/>
      </c>
      <c r="P32" s="12">
        <f t="shared" si="6"/>
        <v>0</v>
      </c>
      <c r="Q32" s="12">
        <f t="shared" si="7"/>
        <v>0</v>
      </c>
      <c r="R32" s="12" t="str">
        <f t="shared" si="8"/>
        <v/>
      </c>
      <c r="S32" s="12">
        <f t="shared" si="9"/>
        <v>0</v>
      </c>
      <c r="T32" s="12">
        <f t="shared" si="10"/>
        <v>0</v>
      </c>
      <c r="U32" s="12">
        <f t="shared" si="11"/>
        <v>0</v>
      </c>
      <c r="V32" s="12">
        <f t="shared" si="12"/>
        <v>0</v>
      </c>
      <c r="W32" s="12">
        <f t="shared" si="13"/>
        <v>0</v>
      </c>
      <c r="X32" s="12" t="str">
        <f t="shared" si="14"/>
        <v/>
      </c>
    </row>
    <row r="33" spans="1:24" x14ac:dyDescent="0.3">
      <c r="A33" s="6"/>
      <c r="B33" s="6"/>
      <c r="C33" s="6"/>
      <c r="D33" s="6"/>
      <c r="E33" s="6"/>
      <c r="F33" s="6"/>
      <c r="G33" s="6"/>
      <c r="H33" s="6"/>
      <c r="J33" s="12">
        <f t="shared" si="0"/>
        <v>0</v>
      </c>
      <c r="K33" s="12">
        <f t="shared" si="1"/>
        <v>0</v>
      </c>
      <c r="L33" s="13" t="str">
        <f t="shared" si="2"/>
        <v/>
      </c>
      <c r="M33" s="12">
        <f t="shared" si="3"/>
        <v>0</v>
      </c>
      <c r="N33" s="12">
        <f t="shared" si="4"/>
        <v>0</v>
      </c>
      <c r="O33" s="12" t="str">
        <f t="shared" si="5"/>
        <v/>
      </c>
      <c r="P33" s="12">
        <f t="shared" si="6"/>
        <v>0</v>
      </c>
      <c r="Q33" s="12">
        <f t="shared" si="7"/>
        <v>0</v>
      </c>
      <c r="R33" s="12" t="str">
        <f t="shared" si="8"/>
        <v/>
      </c>
      <c r="S33" s="12">
        <f t="shared" si="9"/>
        <v>0</v>
      </c>
      <c r="T33" s="12">
        <f t="shared" si="10"/>
        <v>0</v>
      </c>
      <c r="U33" s="12">
        <f t="shared" si="11"/>
        <v>0</v>
      </c>
      <c r="V33" s="12">
        <f t="shared" si="12"/>
        <v>0</v>
      </c>
      <c r="W33" s="12">
        <f t="shared" si="13"/>
        <v>0</v>
      </c>
      <c r="X33" s="12" t="str">
        <f t="shared" si="14"/>
        <v/>
      </c>
    </row>
    <row r="34" spans="1:24" x14ac:dyDescent="0.3">
      <c r="A34" s="6"/>
      <c r="B34" s="6"/>
      <c r="C34" s="6"/>
      <c r="D34" s="6"/>
      <c r="E34" s="6"/>
      <c r="F34" s="6"/>
      <c r="G34" s="6"/>
      <c r="H34" s="6"/>
      <c r="J34" s="12">
        <f t="shared" si="0"/>
        <v>0</v>
      </c>
      <c r="K34" s="12">
        <f t="shared" si="1"/>
        <v>0</v>
      </c>
      <c r="L34" s="13" t="str">
        <f t="shared" si="2"/>
        <v/>
      </c>
      <c r="M34" s="12">
        <f t="shared" si="3"/>
        <v>0</v>
      </c>
      <c r="N34" s="12">
        <f t="shared" si="4"/>
        <v>0</v>
      </c>
      <c r="O34" s="12" t="str">
        <f t="shared" si="5"/>
        <v/>
      </c>
      <c r="P34" s="12">
        <f t="shared" si="6"/>
        <v>0</v>
      </c>
      <c r="Q34" s="12">
        <f t="shared" si="7"/>
        <v>0</v>
      </c>
      <c r="R34" s="12" t="str">
        <f t="shared" si="8"/>
        <v/>
      </c>
      <c r="S34" s="12">
        <f t="shared" si="9"/>
        <v>0</v>
      </c>
      <c r="T34" s="12">
        <f t="shared" si="10"/>
        <v>0</v>
      </c>
      <c r="U34" s="12">
        <f t="shared" si="11"/>
        <v>0</v>
      </c>
      <c r="V34" s="12">
        <f t="shared" si="12"/>
        <v>0</v>
      </c>
      <c r="W34" s="12">
        <f t="shared" si="13"/>
        <v>0</v>
      </c>
      <c r="X34" s="12" t="str">
        <f t="shared" si="14"/>
        <v/>
      </c>
    </row>
  </sheetData>
  <sheetProtection sheet="1" formatColumns="0" formatRows="0"/>
  <dataValidations count="5">
    <dataValidation type="list" allowBlank="1" showInputMessage="1" showErrorMessage="1" errorTitle="Choose from the list" error="Pick one of the listed values." promptTitle="Guidance" prompt="Recorded; not scored." sqref="D5:D34" xr:uid="{00000000-0002-0000-0400-000000000000}">
      <formula1>L_scope</formula1>
    </dataValidation>
    <dataValidation type="list" allowBlank="1" showErrorMessage="1" errorTitle="Choose from the list" error="Pick one of the listed values." sqref="E5:E34" xr:uid="{00000000-0002-0000-0400-000001000000}">
      <formula1>L_prestype</formula1>
    </dataValidation>
    <dataValidation type="list" allowBlank="1" showInputMessage="1" showErrorMessage="1" errorTitle="Choose from the list" error="Pick one of the listed values." promptTitle="Guidance" prompt="Tier A: major national or international society meeting with competitive abstract review. Tier B: regional or state society meeting. Tier C: local or limited review." sqref="F5:F34" xr:uid="{00000000-0002-0000-0400-000002000000}">
      <formula1>L_venue</formula1>
    </dataValidation>
    <dataValidation type="list" allowBlank="1" showErrorMessage="1" errorTitle="Choose from the list" error="Pick one of the listed values." sqref="G5:G34" xr:uid="{00000000-0002-0000-0400-000003000000}">
      <formula1>L_presrole</formula1>
    </dataValidation>
    <dataValidation type="list" allowBlank="1" showInputMessage="1" showErrorMessage="1" errorTitle="Choose from the list" error="Pick one of the listed values." promptTitle="Guidance" prompt="Recorded; not scored." sqref="H5:H34" xr:uid="{00000000-0002-0000-0400-000004000000}">
      <formula1>L_yesno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workbookViewId="0"/>
  </sheetViews>
  <sheetFormatPr defaultRowHeight="14.4" x14ac:dyDescent="0.3"/>
  <cols>
    <col min="1" max="1" width="50" customWidth="1"/>
    <col min="2" max="2" width="12" customWidth="1"/>
    <col min="3" max="3" width="10" customWidth="1"/>
    <col min="4" max="4" width="3" customWidth="1"/>
    <col min="5" max="5" width="26" customWidth="1"/>
    <col min="6" max="7" width="10" customWidth="1"/>
  </cols>
  <sheetData>
    <row r="1" spans="1:7" ht="21" x14ac:dyDescent="0.3">
      <c r="A1" s="1" t="s">
        <v>140</v>
      </c>
    </row>
    <row r="2" spans="1:7" x14ac:dyDescent="0.3">
      <c r="A2" s="2" t="s">
        <v>141</v>
      </c>
    </row>
    <row r="4" spans="1:7" x14ac:dyDescent="0.3">
      <c r="A4" s="9" t="s">
        <v>142</v>
      </c>
      <c r="B4" s="9" t="s">
        <v>143</v>
      </c>
      <c r="C4" s="9" t="s">
        <v>144</v>
      </c>
      <c r="E4" s="9" t="s">
        <v>145</v>
      </c>
      <c r="F4" s="9" t="s">
        <v>143</v>
      </c>
      <c r="G4" s="9" t="s">
        <v>144</v>
      </c>
    </row>
    <row r="5" spans="1:7" x14ac:dyDescent="0.3">
      <c r="A5" s="6"/>
      <c r="B5" s="11"/>
      <c r="C5" s="12">
        <f t="shared" ref="C5:C10" si="0">IF(A5="",0,INDEX(ED_units,MATCH(A5,ED_label,0))*MAX(N(B5),1))</f>
        <v>0</v>
      </c>
      <c r="E5" s="6"/>
      <c r="F5" s="11"/>
      <c r="G5" s="12">
        <f>IF(E5="",0,INDEX(RV_units,MATCH(E5,RV_label,0))*MAX(N(F5),1))</f>
        <v>0</v>
      </c>
    </row>
    <row r="6" spans="1:7" x14ac:dyDescent="0.3">
      <c r="A6" s="6"/>
      <c r="B6" s="11"/>
      <c r="C6" s="12">
        <f t="shared" si="0"/>
        <v>0</v>
      </c>
      <c r="E6" s="6"/>
      <c r="F6" s="11"/>
      <c r="G6" s="12">
        <f>IF(E6="",0,INDEX(RV_units,MATCH(E6,RV_label,0))*MAX(N(F6),1))</f>
        <v>0</v>
      </c>
    </row>
    <row r="7" spans="1:7" x14ac:dyDescent="0.3">
      <c r="A7" s="6"/>
      <c r="B7" s="11"/>
      <c r="C7" s="12">
        <f t="shared" si="0"/>
        <v>0</v>
      </c>
      <c r="E7" s="6"/>
      <c r="F7" s="11"/>
      <c r="G7" s="12">
        <f>IF(E7="",0,INDEX(RV_units,MATCH(E7,RV_label,0))*MAX(N(F7),1))</f>
        <v>0</v>
      </c>
    </row>
    <row r="8" spans="1:7" x14ac:dyDescent="0.3">
      <c r="A8" s="6"/>
      <c r="B8" s="11"/>
      <c r="C8" s="12">
        <f t="shared" si="0"/>
        <v>0</v>
      </c>
    </row>
    <row r="9" spans="1:7" x14ac:dyDescent="0.3">
      <c r="A9" s="6"/>
      <c r="B9" s="11"/>
      <c r="C9" s="12">
        <f t="shared" si="0"/>
        <v>0</v>
      </c>
    </row>
    <row r="10" spans="1:7" x14ac:dyDescent="0.3">
      <c r="A10" s="6"/>
      <c r="B10" s="11"/>
      <c r="C10" s="12">
        <f t="shared" si="0"/>
        <v>0</v>
      </c>
    </row>
    <row r="13" spans="1:7" ht="15.6" x14ac:dyDescent="0.3">
      <c r="A13" s="3" t="s">
        <v>146</v>
      </c>
    </row>
    <row r="14" spans="1:7" x14ac:dyDescent="0.3">
      <c r="A14" s="15" t="s">
        <v>147</v>
      </c>
      <c r="B14" s="11"/>
    </row>
    <row r="15" spans="1:7" x14ac:dyDescent="0.3">
      <c r="A15" s="15" t="s">
        <v>148</v>
      </c>
      <c r="B15" s="11"/>
    </row>
    <row r="16" spans="1:7" x14ac:dyDescent="0.3">
      <c r="A16" s="15" t="s">
        <v>149</v>
      </c>
      <c r="B16" s="11"/>
    </row>
    <row r="17" spans="1:7" x14ac:dyDescent="0.3">
      <c r="A17" s="15" t="s">
        <v>150</v>
      </c>
      <c r="B17" s="11"/>
    </row>
    <row r="18" spans="1:7" x14ac:dyDescent="0.3">
      <c r="A18" s="15" t="s">
        <v>151</v>
      </c>
      <c r="B18" s="11"/>
    </row>
    <row r="20" spans="1:7" ht="15.6" x14ac:dyDescent="0.3">
      <c r="A20" s="3" t="s">
        <v>152</v>
      </c>
    </row>
    <row r="21" spans="1:7" x14ac:dyDescent="0.3">
      <c r="A21" s="2" t="s">
        <v>153</v>
      </c>
    </row>
    <row r="22" spans="1:7" x14ac:dyDescent="0.3">
      <c r="A22" s="15" t="s">
        <v>154</v>
      </c>
      <c r="B22" s="11"/>
    </row>
    <row r="23" spans="1:7" x14ac:dyDescent="0.3">
      <c r="A23" s="15" t="s">
        <v>155</v>
      </c>
      <c r="B23" s="11"/>
    </row>
    <row r="24" spans="1:7" x14ac:dyDescent="0.3">
      <c r="A24" s="15" t="s">
        <v>156</v>
      </c>
      <c r="B24" s="11"/>
    </row>
    <row r="26" spans="1:7" ht="15.6" x14ac:dyDescent="0.3">
      <c r="A26" s="3" t="s">
        <v>157</v>
      </c>
    </row>
    <row r="27" spans="1:7" ht="48" customHeight="1" x14ac:dyDescent="0.3">
      <c r="A27" s="15" t="s">
        <v>158</v>
      </c>
      <c r="B27" s="30"/>
      <c r="C27" s="31"/>
      <c r="D27" s="31"/>
      <c r="E27" s="31"/>
      <c r="F27" s="31"/>
      <c r="G27" s="31"/>
    </row>
    <row r="28" spans="1:7" ht="48" customHeight="1" x14ac:dyDescent="0.3">
      <c r="A28" s="15" t="s">
        <v>159</v>
      </c>
      <c r="B28" s="30"/>
      <c r="C28" s="31"/>
      <c r="D28" s="31"/>
      <c r="E28" s="31"/>
      <c r="F28" s="31"/>
      <c r="G28" s="31"/>
    </row>
    <row r="29" spans="1:7" ht="48" customHeight="1" x14ac:dyDescent="0.3">
      <c r="A29" s="15" t="s">
        <v>160</v>
      </c>
      <c r="B29" s="30"/>
      <c r="C29" s="31"/>
      <c r="D29" s="31"/>
      <c r="E29" s="31"/>
      <c r="F29" s="31"/>
      <c r="G29" s="31"/>
    </row>
    <row r="30" spans="1:7" ht="48" customHeight="1" x14ac:dyDescent="0.3">
      <c r="A30" s="15" t="s">
        <v>161</v>
      </c>
      <c r="B30" s="30"/>
      <c r="C30" s="31"/>
      <c r="D30" s="31"/>
      <c r="E30" s="31"/>
      <c r="F30" s="31"/>
      <c r="G30" s="31"/>
    </row>
  </sheetData>
  <sheetProtection sheet="1" formatColumns="0" formatRows="0"/>
  <mergeCells count="4">
    <mergeCell ref="B30:G30"/>
    <mergeCell ref="B29:G29"/>
    <mergeCell ref="B28:G28"/>
    <mergeCell ref="B27:G27"/>
  </mergeCells>
  <dataValidations count="6">
    <dataValidation type="list" allowBlank="1" showErrorMessage="1" errorTitle="Choose from the list" error="Pick one of the listed values." sqref="A5:A10" xr:uid="{00000000-0002-0000-0500-000000000000}">
      <formula1>L_editorial</formula1>
    </dataValidation>
    <dataValidation type="list" allowBlank="1" showErrorMessage="1" errorTitle="Choose from the list" error="Pick one of the listed values." sqref="E5:E7" xr:uid="{00000000-0002-0000-0500-000001000000}">
      <formula1>L_review</formula1>
    </dataValidation>
    <dataValidation type="whole" allowBlank="1" showInputMessage="1" showErrorMessage="1" errorTitle="Check the value" error="Enter a whole number from 1 to 999." promptTitle="Guidance" prompt="Blank counts as 1." sqref="B5:B10" xr:uid="{00000000-0002-0000-0500-000002000000}">
      <formula1>1</formula1>
      <formula2>999</formula2>
    </dataValidation>
    <dataValidation type="whole" allowBlank="1" showInputMessage="1" showErrorMessage="1" errorTitle="Check the value" error="Enter a whole number from 1 to 99." promptTitle="Guidance" prompt="Blank counts as 1." sqref="F5:F7" xr:uid="{00000000-0002-0000-0500-000003000000}">
      <formula1>1</formula1>
      <formula2>99</formula2>
    </dataValidation>
    <dataValidation type="whole" allowBlank="1" showErrorMessage="1" errorTitle="Check the value" error="Enter a whole number from 0 to 999." sqref="B24 B22 B14:B18" xr:uid="{00000000-0002-0000-0500-000004000000}">
      <formula1>0</formula1>
      <formula2>999</formula2>
    </dataValidation>
    <dataValidation type="whole" allowBlank="1" showErrorMessage="1" errorTitle="Check the value" error="Enter a whole number from 0 to 2." sqref="B23" xr:uid="{00000000-0002-0000-0500-00000A000000}">
      <formula1>0</formula1>
      <formula2>2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41"/>
  <sheetViews>
    <sheetView workbookViewId="0"/>
  </sheetViews>
  <sheetFormatPr defaultRowHeight="14.4" x14ac:dyDescent="0.3"/>
  <cols>
    <col min="1" max="1" width="34" customWidth="1"/>
    <col min="2" max="3" width="16" customWidth="1"/>
    <col min="4" max="4" width="22" customWidth="1"/>
    <col min="5" max="5" width="48" customWidth="1"/>
    <col min="6" max="7" width="16" customWidth="1"/>
  </cols>
  <sheetData>
    <row r="1" spans="1:5" ht="21" x14ac:dyDescent="0.3">
      <c r="A1" s="1" t="s">
        <v>162</v>
      </c>
    </row>
    <row r="2" spans="1:5" x14ac:dyDescent="0.3">
      <c r="A2" s="2" t="s">
        <v>163</v>
      </c>
    </row>
    <row r="3" spans="1:5" ht="15.6" x14ac:dyDescent="0.3">
      <c r="A3" s="16" t="str">
        <f>IF(f_name&amp;f_id="","Unnamed faculty member",f_name&amp;IF(AND(f_name&lt;&gt;"",f_id&lt;&gt;""),", ","")&amp;f_id)&amp;IF(f_year&lt;&gt;"",", "&amp;f_year,"")</f>
        <v>Unnamed faculty member</v>
      </c>
    </row>
    <row r="5" spans="1:5" ht="17.399999999999999" x14ac:dyDescent="0.3">
      <c r="A5" s="4" t="s">
        <v>164</v>
      </c>
      <c r="B5" s="34" t="str">
        <f>c_class</f>
        <v>Nothing entered yet</v>
      </c>
      <c r="C5" s="31"/>
      <c r="D5" s="31"/>
      <c r="E5" s="31"/>
    </row>
    <row r="6" spans="1:5" ht="17.399999999999999" x14ac:dyDescent="0.3">
      <c r="A6" s="4" t="s">
        <v>165</v>
      </c>
      <c r="B6" s="17" t="str">
        <f>IF(c_scored=1,c_total,"")</f>
        <v/>
      </c>
    </row>
    <row r="7" spans="1:5" ht="46.05" customHeight="1" x14ac:dyDescent="0.3">
      <c r="A7" s="32" t="str">
        <f>c_reason</f>
        <v>Enter the publications, grants and presentations for the year on the entry sheets.</v>
      </c>
      <c r="B7" s="31"/>
      <c r="C7" s="31"/>
      <c r="D7" s="31"/>
      <c r="E7" s="31"/>
    </row>
    <row r="9" spans="1:5" x14ac:dyDescent="0.3">
      <c r="A9" s="9" t="s">
        <v>166</v>
      </c>
      <c r="B9" s="9" t="s">
        <v>167</v>
      </c>
      <c r="C9" s="9" t="s">
        <v>168</v>
      </c>
      <c r="D9" s="9" t="s">
        <v>169</v>
      </c>
      <c r="E9" s="9" t="s">
        <v>170</v>
      </c>
    </row>
    <row r="10" spans="1:5" ht="30" customHeight="1" x14ac:dyDescent="0.3">
      <c r="A10" s="18" t="s">
        <v>171</v>
      </c>
      <c r="B10" s="19" t="str">
        <f>IF(c_scored=1,c_showP,"")</f>
        <v/>
      </c>
      <c r="C10" s="19">
        <f>s_weights_P</f>
        <v>50</v>
      </c>
      <c r="D10" s="18" t="str">
        <f>IF(c_scored=1,c_statusP,"")</f>
        <v/>
      </c>
      <c r="E10" s="20" t="str">
        <f>IF(c_scored=1,IF(c_gP=1,"Met: ","")&amp;c_basisP,"")</f>
        <v/>
      </c>
    </row>
    <row r="11" spans="1:5" ht="30" customHeight="1" x14ac:dyDescent="0.3">
      <c r="A11" s="18" t="s">
        <v>100</v>
      </c>
      <c r="B11" s="19" t="str">
        <f>IF(c_scored=1,c_showG,"")</f>
        <v/>
      </c>
      <c r="C11" s="19">
        <f>s_weights_G</f>
        <v>35</v>
      </c>
      <c r="D11" s="18" t="str">
        <f>IF(c_scored=1,c_statusG,"")</f>
        <v/>
      </c>
      <c r="E11" s="20" t="str">
        <f>IF(c_scored=1,IF(c_gG=1,"Met: ","")&amp;c_basisG,"")</f>
        <v/>
      </c>
    </row>
    <row r="12" spans="1:5" ht="30" customHeight="1" x14ac:dyDescent="0.3">
      <c r="A12" s="18" t="s">
        <v>172</v>
      </c>
      <c r="B12" s="19" t="str">
        <f>IF(c_scored=1,c_showR,"")</f>
        <v/>
      </c>
      <c r="C12" s="19">
        <f>s_weights_R</f>
        <v>15</v>
      </c>
      <c r="D12" s="18" t="str">
        <f>IF(c_scored=1,c_statusR,"")</f>
        <v/>
      </c>
      <c r="E12" s="20" t="str">
        <f>IF(c_scored=1,IF(c_gR=1,"Met: ","")&amp;c_basisR,"")</f>
        <v/>
      </c>
    </row>
    <row r="13" spans="1:5" x14ac:dyDescent="0.3">
      <c r="A13" s="21" t="s">
        <v>173</v>
      </c>
      <c r="B13" s="22" t="str">
        <f>IF(c_scored=1,c_total,"")</f>
        <v/>
      </c>
      <c r="C13" s="22">
        <v>100</v>
      </c>
      <c r="D13" s="23" t="str">
        <f>c_class</f>
        <v>Nothing entered yet</v>
      </c>
      <c r="E13" s="18"/>
    </row>
    <row r="15" spans="1:5" x14ac:dyDescent="0.3">
      <c r="A15" s="4" t="s">
        <v>174</v>
      </c>
      <c r="B15" s="32" t="str">
        <f>c_strengths</f>
        <v/>
      </c>
      <c r="C15" s="31"/>
      <c r="D15" s="31"/>
      <c r="E15" s="31"/>
    </row>
    <row r="16" spans="1:5" x14ac:dyDescent="0.3">
      <c r="A16" s="4" t="s">
        <v>175</v>
      </c>
      <c r="B16" s="32" t="str">
        <f>c_needs</f>
        <v/>
      </c>
      <c r="C16" s="31"/>
      <c r="D16" s="31"/>
      <c r="E16" s="31"/>
    </row>
    <row r="18" spans="1:5" x14ac:dyDescent="0.3">
      <c r="A18" s="4" t="s">
        <v>176</v>
      </c>
    </row>
    <row r="19" spans="1:5" x14ac:dyDescent="0.3">
      <c r="A19" s="32" t="str">
        <f>IF(AND(c_scored=1,c_note1&amp;c_note2&amp;c_note3&amp;c_note4&amp;c_note5=""),"No allowance or proration was applied.",c_note1)</f>
        <v/>
      </c>
      <c r="B19" s="31"/>
      <c r="C19" s="31"/>
      <c r="D19" s="31"/>
      <c r="E19" s="31"/>
    </row>
    <row r="20" spans="1:5" x14ac:dyDescent="0.3">
      <c r="A20" s="32" t="str">
        <f>c_note2</f>
        <v/>
      </c>
      <c r="B20" s="31"/>
      <c r="C20" s="31"/>
      <c r="D20" s="31"/>
      <c r="E20" s="31"/>
    </row>
    <row r="21" spans="1:5" x14ac:dyDescent="0.3">
      <c r="A21" s="32" t="str">
        <f>c_note3</f>
        <v/>
      </c>
      <c r="B21" s="31"/>
      <c r="C21" s="31"/>
      <c r="D21" s="31"/>
      <c r="E21" s="31"/>
    </row>
    <row r="22" spans="1:5" x14ac:dyDescent="0.3">
      <c r="A22" s="32" t="str">
        <f>c_note4</f>
        <v/>
      </c>
      <c r="B22" s="31"/>
      <c r="C22" s="31"/>
      <c r="D22" s="31"/>
      <c r="E22" s="31"/>
    </row>
    <row r="23" spans="1:5" x14ac:dyDescent="0.3">
      <c r="A23" s="32" t="str">
        <f>c_note5</f>
        <v/>
      </c>
      <c r="B23" s="31"/>
      <c r="C23" s="31"/>
      <c r="D23" s="31"/>
      <c r="E23" s="31"/>
    </row>
    <row r="25" spans="1:5" x14ac:dyDescent="0.3">
      <c r="A25" s="4" t="s">
        <v>177</v>
      </c>
    </row>
    <row r="26" spans="1:5" x14ac:dyDescent="0.3">
      <c r="A26" s="32" t="str">
        <f>IF(AND(c_scored=1,c_flag1&amp;c_flag2&amp;c_flag3&amp;c_flag4&amp;c_flag5=""),"Nothing flagged.",c_flag1)</f>
        <v/>
      </c>
      <c r="B26" s="31"/>
      <c r="C26" s="31"/>
      <c r="D26" s="31"/>
      <c r="E26" s="31"/>
    </row>
    <row r="27" spans="1:5" x14ac:dyDescent="0.3">
      <c r="A27" s="32" t="str">
        <f>c_flag2</f>
        <v/>
      </c>
      <c r="B27" s="31"/>
      <c r="C27" s="31"/>
      <c r="D27" s="31"/>
      <c r="E27" s="31"/>
    </row>
    <row r="28" spans="1:5" x14ac:dyDescent="0.3">
      <c r="A28" s="32" t="str">
        <f>c_flag3</f>
        <v/>
      </c>
      <c r="B28" s="31"/>
      <c r="C28" s="31"/>
      <c r="D28" s="31"/>
      <c r="E28" s="31"/>
    </row>
    <row r="29" spans="1:5" x14ac:dyDescent="0.3">
      <c r="A29" s="32" t="str">
        <f>c_flag4</f>
        <v/>
      </c>
      <c r="B29" s="31"/>
      <c r="C29" s="31"/>
      <c r="D29" s="31"/>
      <c r="E29" s="31"/>
    </row>
    <row r="30" spans="1:5" x14ac:dyDescent="0.3">
      <c r="A30" s="32" t="str">
        <f>c_flag5</f>
        <v/>
      </c>
      <c r="B30" s="31"/>
      <c r="C30" s="31"/>
      <c r="D30" s="31"/>
      <c r="E30" s="31"/>
    </row>
    <row r="32" spans="1:5" ht="15.6" x14ac:dyDescent="0.3">
      <c r="A32" s="3" t="s">
        <v>178</v>
      </c>
    </row>
    <row r="33" spans="1:7" ht="26.4" x14ac:dyDescent="0.3">
      <c r="A33" s="10" t="s">
        <v>166</v>
      </c>
      <c r="B33" s="10" t="s">
        <v>179</v>
      </c>
      <c r="C33" s="10" t="s">
        <v>180</v>
      </c>
      <c r="D33" s="10" t="s">
        <v>181</v>
      </c>
      <c r="E33" s="10" t="s">
        <v>182</v>
      </c>
      <c r="F33" s="10" t="s">
        <v>183</v>
      </c>
      <c r="G33" s="10" t="s">
        <v>184</v>
      </c>
    </row>
    <row r="34" spans="1:7" x14ac:dyDescent="0.3">
      <c r="A34" s="18" t="s">
        <v>171</v>
      </c>
      <c r="B34" s="24" t="str">
        <f>IF(c_scored=1,c_pub_units,"")</f>
        <v/>
      </c>
      <c r="C34" s="24" t="str">
        <f>IF(c_scored=1,c_bunits,"")</f>
        <v/>
      </c>
      <c r="D34" s="24" t="str">
        <f>IF(c_scored=1,s_saturation_P*c_sat_scale,"")</f>
        <v/>
      </c>
      <c r="E34" s="24" t="str">
        <f>IF(c_scored=1,s_anchor_share*s_weights_P*c_fracP,"")</f>
        <v/>
      </c>
      <c r="F34" s="24" t="str">
        <f>IF(c_scored=1,c_rawP-s_anchor_share*s_weights_P*c_fracP,"")</f>
        <v/>
      </c>
      <c r="G34" s="25">
        <f>IF(c_scored=1,c_shareP,0)</f>
        <v>0</v>
      </c>
    </row>
    <row r="35" spans="1:7" x14ac:dyDescent="0.3">
      <c r="A35" s="18" t="s">
        <v>100</v>
      </c>
      <c r="B35" s="24" t="str">
        <f>IF(c_scored=1,c_g_units,"")</f>
        <v/>
      </c>
      <c r="C35" s="24" t="str">
        <f>IF(c_scored=1,s_benchmark_units_G,"")</f>
        <v/>
      </c>
      <c r="D35" s="24" t="str">
        <f>IF(c_scored=1,s_saturation_G*c_sat_scale,"")</f>
        <v/>
      </c>
      <c r="E35" s="24" t="str">
        <f>IF(c_scored=1,s_anchor_share*s_weights_G*c_fracG,"")</f>
        <v/>
      </c>
      <c r="F35" s="24" t="str">
        <f>IF(c_scored=1,c_rawG-s_anchor_share*s_weights_G*c_fracG,"")</f>
        <v/>
      </c>
      <c r="G35" s="25">
        <f>IF(c_scored=1,c_shareG,0)</f>
        <v>0</v>
      </c>
    </row>
    <row r="36" spans="1:7" x14ac:dyDescent="0.3">
      <c r="A36" s="18" t="s">
        <v>172</v>
      </c>
      <c r="B36" s="24" t="str">
        <f>IF(c_scored=1,c_r_units,"")</f>
        <v/>
      </c>
      <c r="C36" s="24" t="str">
        <f>IF(c_scored=1,s_benchmark_units_R,"")</f>
        <v/>
      </c>
      <c r="D36" s="24" t="str">
        <f>IF(c_scored=1,s_saturation_R*c_sat_scale,"")</f>
        <v/>
      </c>
      <c r="E36" s="24" t="str">
        <f>IF(c_scored=1,s_anchor_share*s_weights_R*c_fracR,"")</f>
        <v/>
      </c>
      <c r="F36" s="24" t="str">
        <f>IF(c_scored=1,c_rawR-s_anchor_share*s_weights_R*c_fracR,"")</f>
        <v/>
      </c>
      <c r="G36" s="25">
        <f>IF(c_scored=1,c_shareR,0)</f>
        <v>0</v>
      </c>
    </row>
    <row r="38" spans="1:7" ht="30" customHeight="1" x14ac:dyDescent="0.3">
      <c r="A38" s="33" t="str">
        <f>"Meeting a domain's minimum earns "&amp;TEXT(s_anchor_share,"0%")&amp;" of its points. Units above the benchmark earn the rest, in proportion, up to the units needed for full excellence. Adjustment factor: "&amp;TEXT(c_factor,"0.00")&amp;"."</f>
        <v>Meeting a domain's minimum earns 70% of its points. Units above the benchmark earn the rest, in proportion, up to the units needed for full excellence. Adjustment factor: 1.00.</v>
      </c>
      <c r="B38" s="31"/>
      <c r="C38" s="31"/>
      <c r="D38" s="31"/>
      <c r="E38" s="31"/>
      <c r="F38" s="31"/>
      <c r="G38" s="31"/>
    </row>
    <row r="40" spans="1:7" x14ac:dyDescent="0.3">
      <c r="A40" s="4" t="s">
        <v>185</v>
      </c>
      <c r="B40" s="32" t="str">
        <f>c_policy</f>
        <v>Provisional 2026 (pending committee approval) | Provisional defaults; not approved | settings match the shipped policy (fingerprint 690a203737)</v>
      </c>
      <c r="C40" s="31"/>
      <c r="D40" s="31"/>
      <c r="E40" s="31"/>
      <c r="F40" s="31"/>
      <c r="G40" s="31"/>
    </row>
    <row r="41" spans="1:7" ht="30" customHeight="1" x14ac:dyDescent="0.3">
      <c r="A41" s="33" t="s">
        <v>186</v>
      </c>
      <c r="B41" s="31"/>
      <c r="C41" s="31"/>
      <c r="D41" s="31"/>
      <c r="E41" s="31"/>
      <c r="F41" s="31"/>
      <c r="G41" s="31"/>
    </row>
  </sheetData>
  <sheetProtection sheet="1" formatColumns="0" formatRows="0"/>
  <mergeCells count="17">
    <mergeCell ref="A38:G38"/>
    <mergeCell ref="A23:E23"/>
    <mergeCell ref="B40:G40"/>
    <mergeCell ref="B5:E5"/>
    <mergeCell ref="A41:G41"/>
    <mergeCell ref="A22:E22"/>
    <mergeCell ref="A27:E27"/>
    <mergeCell ref="A7:E7"/>
    <mergeCell ref="A28:E28"/>
    <mergeCell ref="A19:E19"/>
    <mergeCell ref="B16:E16"/>
    <mergeCell ref="B15:E15"/>
    <mergeCell ref="A21:E21"/>
    <mergeCell ref="A30:E30"/>
    <mergeCell ref="A29:E29"/>
    <mergeCell ref="A20:E20"/>
    <mergeCell ref="A26:E26"/>
  </mergeCells>
  <conditionalFormatting sqref="B5">
    <cfRule type="expression" dxfId="23" priority="1">
      <formula>OR(LEFT($B$5,5)="Meets",LEFT($B$5,7)="Exceeds")</formula>
    </cfRule>
    <cfRule type="expression" dxfId="22" priority="2">
      <formula>OR($B$5="Approaching",LEFT($B$5,3)="Not",LEFT($B$5,10)="Incomplete",AND(LEFT($B$5,4)="Does",c_approaching=1))</formula>
    </cfRule>
    <cfRule type="expression" dxfId="21" priority="3">
      <formula>OR($B$5="Not met",AND(LEFT($B$5,4)="Does",c_approaching=0))</formula>
    </cfRule>
  </conditionalFormatting>
  <conditionalFormatting sqref="D10">
    <cfRule type="expression" dxfId="20" priority="4">
      <formula>OR(LEFT($D$10,5)="Meets",LEFT($D$10,7)="Exceeds")</formula>
    </cfRule>
    <cfRule type="expression" dxfId="19" priority="5">
      <formula>OR($D$10="Approaching",LEFT($D$10,3)="Not",LEFT($D$10,10)="Incomplete",AND(LEFT($D$10,4)="Does",c_approaching=1))</formula>
    </cfRule>
    <cfRule type="expression" dxfId="18" priority="6">
      <formula>OR($D$10="Not met",AND(LEFT($D$10,4)="Does",c_approaching=0))</formula>
    </cfRule>
  </conditionalFormatting>
  <conditionalFormatting sqref="D11">
    <cfRule type="expression" dxfId="17" priority="7">
      <formula>OR(LEFT($D$11,5)="Meets",LEFT($D$11,7)="Exceeds")</formula>
    </cfRule>
    <cfRule type="expression" dxfId="16" priority="8">
      <formula>OR($D$11="Approaching",LEFT($D$11,3)="Not",LEFT($D$11,10)="Incomplete",AND(LEFT($D$11,4)="Does",c_approaching=1))</formula>
    </cfRule>
    <cfRule type="expression" dxfId="15" priority="9">
      <formula>OR($D$11="Not met",AND(LEFT($D$11,4)="Does",c_approaching=0))</formula>
    </cfRule>
  </conditionalFormatting>
  <conditionalFormatting sqref="D12">
    <cfRule type="expression" dxfId="14" priority="10">
      <formula>OR(LEFT($D$12,5)="Meets",LEFT($D$12,7)="Exceeds")</formula>
    </cfRule>
    <cfRule type="expression" dxfId="13" priority="11">
      <formula>OR($D$12="Approaching",LEFT($D$12,3)="Not",LEFT($D$12,10)="Incomplete",AND(LEFT($D$12,4)="Does",c_approaching=1))</formula>
    </cfRule>
    <cfRule type="expression" dxfId="12" priority="12">
      <formula>OR($D$12="Not met",AND(LEFT($D$12,4)="Does",c_approaching=0))</formula>
    </cfRule>
  </conditionalFormatting>
  <conditionalFormatting sqref="G34:G36">
    <cfRule type="dataBar" priority="13">
      <dataBar>
        <cfvo type="num" val="0"/>
        <cfvo type="num" val="1"/>
        <color rgb="FF1D4E89"/>
      </dataBar>
    </cfRule>
  </conditionalFormatting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55"/>
  <sheetViews>
    <sheetView workbookViewId="0"/>
  </sheetViews>
  <sheetFormatPr defaultRowHeight="14.4" x14ac:dyDescent="0.3"/>
  <cols>
    <col min="1" max="1" width="34" customWidth="1"/>
    <col min="2" max="3" width="14" customWidth="1"/>
    <col min="4" max="4" width="20" customWidth="1"/>
    <col min="5" max="5" width="46" customWidth="1"/>
  </cols>
  <sheetData>
    <row r="1" spans="1:5" ht="21" x14ac:dyDescent="0.3">
      <c r="A1" s="1" t="s">
        <v>187</v>
      </c>
    </row>
    <row r="3" spans="1:5" x14ac:dyDescent="0.3">
      <c r="A3" s="4" t="s">
        <v>188</v>
      </c>
      <c r="B3" s="35" t="str">
        <f>IF(f_name="","",f_name)</f>
        <v/>
      </c>
      <c r="C3" s="31"/>
      <c r="D3" s="31"/>
      <c r="E3" s="31"/>
    </row>
    <row r="4" spans="1:5" x14ac:dyDescent="0.3">
      <c r="A4" s="4" t="s">
        <v>51</v>
      </c>
      <c r="B4" s="35" t="str">
        <f>IF(f_id="","",f_id)</f>
        <v/>
      </c>
      <c r="C4" s="31"/>
      <c r="D4" s="31"/>
      <c r="E4" s="31"/>
    </row>
    <row r="5" spans="1:5" x14ac:dyDescent="0.3">
      <c r="A5" s="4" t="s">
        <v>52</v>
      </c>
      <c r="B5" s="35" t="str">
        <f>IF(f_rank="","",f_rank)</f>
        <v/>
      </c>
      <c r="C5" s="31"/>
      <c r="D5" s="31"/>
      <c r="E5" s="31"/>
    </row>
    <row r="6" spans="1:5" x14ac:dyDescent="0.3">
      <c r="A6" s="4" t="s">
        <v>53</v>
      </c>
      <c r="B6" s="35" t="str">
        <f>IF(f_department="","",f_department)</f>
        <v/>
      </c>
      <c r="C6" s="31"/>
      <c r="D6" s="31"/>
      <c r="E6" s="31"/>
    </row>
    <row r="7" spans="1:5" x14ac:dyDescent="0.3">
      <c r="A7" s="4" t="s">
        <v>54</v>
      </c>
      <c r="B7" s="35" t="str">
        <f>IF(f_appointment="","",f_appointment)</f>
        <v/>
      </c>
      <c r="C7" s="31"/>
      <c r="D7" s="31"/>
      <c r="E7" s="31"/>
    </row>
    <row r="8" spans="1:5" x14ac:dyDescent="0.3">
      <c r="A8" s="4" t="s">
        <v>189</v>
      </c>
      <c r="B8" s="35" t="str">
        <f>IF(f_year="","",f_year)</f>
        <v/>
      </c>
      <c r="C8" s="31"/>
      <c r="D8" s="31"/>
      <c r="E8" s="31"/>
    </row>
    <row r="9" spans="1:5" x14ac:dyDescent="0.3">
      <c r="A9" s="4" t="s">
        <v>57</v>
      </c>
      <c r="B9" s="35">
        <f>IF(c_effort="","",c_effort)</f>
        <v>40</v>
      </c>
      <c r="C9" s="31"/>
      <c r="D9" s="31"/>
      <c r="E9" s="31"/>
    </row>
    <row r="10" spans="1:5" x14ac:dyDescent="0.3">
      <c r="A10" s="4" t="s">
        <v>190</v>
      </c>
      <c r="B10" s="35">
        <f>IF(c_months="","",c_months)</f>
        <v>12</v>
      </c>
      <c r="C10" s="31"/>
      <c r="D10" s="31"/>
      <c r="E10" s="31"/>
    </row>
    <row r="12" spans="1:5" ht="17.399999999999999" x14ac:dyDescent="0.3">
      <c r="A12" s="4" t="s">
        <v>164</v>
      </c>
      <c r="B12" s="34" t="str">
        <f>c_class</f>
        <v>Nothing entered yet</v>
      </c>
      <c r="C12" s="31"/>
      <c r="D12" s="31"/>
      <c r="E12" s="31"/>
    </row>
    <row r="13" spans="1:5" ht="17.399999999999999" x14ac:dyDescent="0.3">
      <c r="A13" s="4" t="s">
        <v>165</v>
      </c>
      <c r="B13" s="17" t="str">
        <f>IF(c_scored=1,c_total,"")</f>
        <v/>
      </c>
    </row>
    <row r="14" spans="1:5" ht="46.05" customHeight="1" x14ac:dyDescent="0.3">
      <c r="A14" s="32" t="str">
        <f>c_reason</f>
        <v>Enter the publications, grants and presentations for the year on the entry sheets.</v>
      </c>
      <c r="B14" s="31"/>
      <c r="C14" s="31"/>
      <c r="D14" s="31"/>
      <c r="E14" s="31"/>
    </row>
    <row r="16" spans="1:5" ht="26.4" x14ac:dyDescent="0.3">
      <c r="A16" s="9" t="s">
        <v>166</v>
      </c>
      <c r="B16" s="9" t="s">
        <v>167</v>
      </c>
      <c r="C16" s="9" t="s">
        <v>168</v>
      </c>
      <c r="D16" s="9" t="s">
        <v>169</v>
      </c>
      <c r="E16" s="9" t="s">
        <v>170</v>
      </c>
    </row>
    <row r="17" spans="1:5" ht="30" customHeight="1" x14ac:dyDescent="0.3">
      <c r="A17" s="18" t="s">
        <v>171</v>
      </c>
      <c r="B17" s="19" t="str">
        <f>IF(c_scored=1,c_showP,"")</f>
        <v/>
      </c>
      <c r="C17" s="19">
        <f>s_weights_P</f>
        <v>50</v>
      </c>
      <c r="D17" s="18" t="str">
        <f>IF(c_scored=1,c_statusP,"")</f>
        <v/>
      </c>
      <c r="E17" s="20" t="str">
        <f>IF(c_scored=1,IF(c_gP=1,"Met: ","")&amp;c_basisP,"")</f>
        <v/>
      </c>
    </row>
    <row r="18" spans="1:5" ht="30" customHeight="1" x14ac:dyDescent="0.3">
      <c r="A18" s="18" t="s">
        <v>100</v>
      </c>
      <c r="B18" s="19" t="str">
        <f>IF(c_scored=1,c_showG,"")</f>
        <v/>
      </c>
      <c r="C18" s="19">
        <f>s_weights_G</f>
        <v>35</v>
      </c>
      <c r="D18" s="18" t="str">
        <f>IF(c_scored=1,c_statusG,"")</f>
        <v/>
      </c>
      <c r="E18" s="20" t="str">
        <f>IF(c_scored=1,IF(c_gG=1,"Met: ","")&amp;c_basisG,"")</f>
        <v/>
      </c>
    </row>
    <row r="19" spans="1:5" ht="30" customHeight="1" x14ac:dyDescent="0.3">
      <c r="A19" s="18" t="s">
        <v>172</v>
      </c>
      <c r="B19" s="19" t="str">
        <f>IF(c_scored=1,c_showR,"")</f>
        <v/>
      </c>
      <c r="C19" s="19">
        <f>s_weights_R</f>
        <v>15</v>
      </c>
      <c r="D19" s="18" t="str">
        <f>IF(c_scored=1,c_statusR,"")</f>
        <v/>
      </c>
      <c r="E19" s="20" t="str">
        <f>IF(c_scored=1,IF(c_gR=1,"Met: ","")&amp;c_basisR,"")</f>
        <v/>
      </c>
    </row>
    <row r="20" spans="1:5" x14ac:dyDescent="0.3">
      <c r="A20" s="21" t="s">
        <v>173</v>
      </c>
      <c r="B20" s="22" t="str">
        <f>IF(c_scored=1,c_total,"")</f>
        <v/>
      </c>
      <c r="C20" s="22">
        <v>100</v>
      </c>
      <c r="D20" s="23" t="str">
        <f>c_class</f>
        <v>Nothing entered yet</v>
      </c>
      <c r="E20" s="18"/>
    </row>
    <row r="22" spans="1:5" x14ac:dyDescent="0.3">
      <c r="A22" s="4" t="s">
        <v>174</v>
      </c>
      <c r="B22" s="32" t="str">
        <f>c_strengths</f>
        <v/>
      </c>
      <c r="C22" s="31"/>
      <c r="D22" s="31"/>
      <c r="E22" s="31"/>
    </row>
    <row r="23" spans="1:5" x14ac:dyDescent="0.3">
      <c r="A23" s="4" t="s">
        <v>175</v>
      </c>
      <c r="B23" s="32" t="str">
        <f>c_needs</f>
        <v/>
      </c>
      <c r="C23" s="31"/>
      <c r="D23" s="31"/>
      <c r="E23" s="31"/>
    </row>
    <row r="25" spans="1:5" x14ac:dyDescent="0.3">
      <c r="A25" s="4" t="s">
        <v>176</v>
      </c>
    </row>
    <row r="26" spans="1:5" x14ac:dyDescent="0.3">
      <c r="A26" s="32" t="str">
        <f>IF(AND(c_scored=1,c_note1&amp;c_note2&amp;c_note3&amp;c_note4&amp;c_note5=""),"No allowance or proration was applied.",c_note1)</f>
        <v/>
      </c>
      <c r="B26" s="31"/>
      <c r="C26" s="31"/>
      <c r="D26" s="31"/>
      <c r="E26" s="31"/>
    </row>
    <row r="27" spans="1:5" x14ac:dyDescent="0.3">
      <c r="A27" s="32" t="str">
        <f>c_note2</f>
        <v/>
      </c>
      <c r="B27" s="31"/>
      <c r="C27" s="31"/>
      <c r="D27" s="31"/>
      <c r="E27" s="31"/>
    </row>
    <row r="28" spans="1:5" x14ac:dyDescent="0.3">
      <c r="A28" s="32" t="str">
        <f>c_note3</f>
        <v/>
      </c>
      <c r="B28" s="31"/>
      <c r="C28" s="31"/>
      <c r="D28" s="31"/>
      <c r="E28" s="31"/>
    </row>
    <row r="29" spans="1:5" x14ac:dyDescent="0.3">
      <c r="A29" s="32" t="str">
        <f>c_note4</f>
        <v/>
      </c>
      <c r="B29" s="31"/>
      <c r="C29" s="31"/>
      <c r="D29" s="31"/>
      <c r="E29" s="31"/>
    </row>
    <row r="30" spans="1:5" x14ac:dyDescent="0.3">
      <c r="A30" s="32" t="str">
        <f>c_note5</f>
        <v/>
      </c>
      <c r="B30" s="31"/>
      <c r="C30" s="31"/>
      <c r="D30" s="31"/>
      <c r="E30" s="31"/>
    </row>
    <row r="32" spans="1:5" x14ac:dyDescent="0.3">
      <c r="A32" s="4" t="s">
        <v>177</v>
      </c>
    </row>
    <row r="33" spans="1:5" x14ac:dyDescent="0.3">
      <c r="A33" s="32" t="str">
        <f>IF(AND(c_scored=1,c_flag1&amp;c_flag2&amp;c_flag3&amp;c_flag4&amp;c_flag5=""),"Nothing flagged.",c_flag1)</f>
        <v/>
      </c>
      <c r="B33" s="31"/>
      <c r="C33" s="31"/>
      <c r="D33" s="31"/>
      <c r="E33" s="31"/>
    </row>
    <row r="34" spans="1:5" x14ac:dyDescent="0.3">
      <c r="A34" s="32" t="str">
        <f>c_flag2</f>
        <v/>
      </c>
      <c r="B34" s="31"/>
      <c r="C34" s="31"/>
      <c r="D34" s="31"/>
      <c r="E34" s="31"/>
    </row>
    <row r="35" spans="1:5" x14ac:dyDescent="0.3">
      <c r="A35" s="32" t="str">
        <f>c_flag3</f>
        <v/>
      </c>
      <c r="B35" s="31"/>
      <c r="C35" s="31"/>
      <c r="D35" s="31"/>
      <c r="E35" s="31"/>
    </row>
    <row r="36" spans="1:5" x14ac:dyDescent="0.3">
      <c r="A36" s="32" t="str">
        <f>c_flag4</f>
        <v/>
      </c>
      <c r="B36" s="31"/>
      <c r="C36" s="31"/>
      <c r="D36" s="31"/>
      <c r="E36" s="31"/>
    </row>
    <row r="37" spans="1:5" x14ac:dyDescent="0.3">
      <c r="A37" s="32" t="str">
        <f>c_flag5</f>
        <v/>
      </c>
      <c r="B37" s="31"/>
      <c r="C37" s="31"/>
      <c r="D37" s="31"/>
      <c r="E37" s="31"/>
    </row>
    <row r="39" spans="1:5" ht="15.6" x14ac:dyDescent="0.3">
      <c r="A39" s="3" t="s">
        <v>191</v>
      </c>
    </row>
    <row r="40" spans="1:5" x14ac:dyDescent="0.3">
      <c r="A40" s="4" t="s">
        <v>192</v>
      </c>
      <c r="B40" s="32" t="str">
        <f>c_pub_count&amp;" counted toward the minimum; "&amp;TEXT(c_pub_units,"0.00")&amp;" units"</f>
        <v>0 counted toward the minimum; 0.00 units</v>
      </c>
      <c r="C40" s="31"/>
      <c r="D40" s="31"/>
      <c r="E40" s="31"/>
    </row>
    <row r="41" spans="1:5" x14ac:dyDescent="0.3">
      <c r="A41" s="4" t="s">
        <v>193</v>
      </c>
      <c r="B41" s="32" t="str">
        <f>SUM(GRA_issub)&amp;" proposal(s) submitted, "&amp;SUM(GRA_isaward)&amp;" award(s) received, "&amp;SUM(GRA_active)&amp;" active project(s); "&amp;TEXT(c_g_units,"0.00")&amp;" units"</f>
        <v>0 proposal(s) submitted, 0 award(s) received, 0 active project(s); 0.00 units</v>
      </c>
      <c r="C41" s="31"/>
      <c r="D41" s="31"/>
      <c r="E41" s="31"/>
    </row>
    <row r="42" spans="1:5" x14ac:dyDescent="0.3">
      <c r="A42" s="4" t="s">
        <v>124</v>
      </c>
      <c r="B42" s="32" t="str">
        <f>SUM(PRE_ok)&amp;" presentation(s) entered; "&amp;TEXT(c_r_units,"0.00")&amp;" units"</f>
        <v>0 presentation(s) entered; 0.00 units</v>
      </c>
      <c r="C42" s="31"/>
      <c r="D42" s="31"/>
      <c r="E42" s="31"/>
    </row>
    <row r="43" spans="1:5" x14ac:dyDescent="0.3">
      <c r="A43" s="4" t="s">
        <v>194</v>
      </c>
      <c r="B43" s="32" t="str">
        <f>TEXT(MIN(SUM(OT_editorial),s_editorial_cap),"0.00")&amp;" editorial units, "&amp;TEXT(c_g_review,"0.00")&amp;" grant-review units, "&amp;N(o_chaired)&amp;" session(s) chaired"</f>
        <v>0.00 editorial units, 0.00 grant-review units, 0 session(s) chaired</v>
      </c>
      <c r="C43" s="31"/>
      <c r="D43" s="31"/>
      <c r="E43" s="31"/>
    </row>
    <row r="45" spans="1:5" ht="15.6" x14ac:dyDescent="0.3">
      <c r="A45" s="3" t="s">
        <v>195</v>
      </c>
    </row>
    <row r="46" spans="1:5" ht="34.049999999999997" customHeight="1" x14ac:dyDescent="0.3">
      <c r="A46" s="4" t="s">
        <v>196</v>
      </c>
      <c r="B46" s="32" t="str">
        <f>IF(x_awards="","",x_awards)</f>
        <v/>
      </c>
      <c r="C46" s="31"/>
      <c r="D46" s="31"/>
      <c r="E46" s="31"/>
    </row>
    <row r="47" spans="1:5" ht="34.049999999999997" customHeight="1" x14ac:dyDescent="0.3">
      <c r="A47" s="4" t="s">
        <v>197</v>
      </c>
      <c r="B47" s="32" t="str">
        <f>IF(x_mentoring="","",x_mentoring)</f>
        <v/>
      </c>
      <c r="C47" s="31"/>
      <c r="D47" s="31"/>
      <c r="E47" s="31"/>
    </row>
    <row r="48" spans="1:5" ht="34.049999999999997" customHeight="1" x14ac:dyDescent="0.3">
      <c r="A48" s="4" t="s">
        <v>198</v>
      </c>
      <c r="B48" s="32" t="str">
        <f>IF(x_community="","",x_community)</f>
        <v/>
      </c>
      <c r="C48" s="31"/>
      <c r="D48" s="31"/>
      <c r="E48" s="31"/>
    </row>
    <row r="49" spans="1:5" ht="34.049999999999997" customHeight="1" x14ac:dyDescent="0.3">
      <c r="A49" s="4" t="s">
        <v>161</v>
      </c>
      <c r="B49" s="32" t="str">
        <f>IF(x_notes="","",x_notes)</f>
        <v/>
      </c>
      <c r="C49" s="31"/>
      <c r="D49" s="31"/>
      <c r="E49" s="31"/>
    </row>
    <row r="51" spans="1:5" ht="25.95" customHeight="1" x14ac:dyDescent="0.3">
      <c r="A51" s="36" t="str">
        <f>"Scoring policy: "&amp;c_policy</f>
        <v>Scoring policy: Provisional 2026 (pending committee approval) | Provisional defaults; not approved | settings match the shipped policy (fingerprint 690a203737)</v>
      </c>
      <c r="B51" s="31"/>
      <c r="C51" s="31"/>
      <c r="D51" s="31"/>
      <c r="E51" s="31"/>
    </row>
    <row r="52" spans="1:5" x14ac:dyDescent="0.3">
      <c r="A52" s="37" t="s">
        <v>199</v>
      </c>
      <c r="B52" s="31"/>
      <c r="C52" s="31"/>
      <c r="D52" s="31"/>
      <c r="E52" s="31"/>
    </row>
    <row r="55" spans="1:5" x14ac:dyDescent="0.3">
      <c r="A55" s="15" t="s">
        <v>200</v>
      </c>
      <c r="D55" s="15" t="s">
        <v>201</v>
      </c>
    </row>
  </sheetData>
  <sheetProtection sheet="1" formatColumns="0" formatRows="0"/>
  <mergeCells count="32">
    <mergeCell ref="A52:E52"/>
    <mergeCell ref="A28:E28"/>
    <mergeCell ref="B10:E10"/>
    <mergeCell ref="B4:E4"/>
    <mergeCell ref="B7:E7"/>
    <mergeCell ref="A37:E37"/>
    <mergeCell ref="B3:E3"/>
    <mergeCell ref="B47:E47"/>
    <mergeCell ref="B46:E46"/>
    <mergeCell ref="B22:E22"/>
    <mergeCell ref="A27:E27"/>
    <mergeCell ref="A26:E26"/>
    <mergeCell ref="B43:E43"/>
    <mergeCell ref="B12:E12"/>
    <mergeCell ref="A33:E33"/>
    <mergeCell ref="A14:E14"/>
    <mergeCell ref="B42:E42"/>
    <mergeCell ref="B23:E23"/>
    <mergeCell ref="A29:E29"/>
    <mergeCell ref="B6:E6"/>
    <mergeCell ref="A51:E51"/>
    <mergeCell ref="B5:E5"/>
    <mergeCell ref="A36:E36"/>
    <mergeCell ref="B41:E41"/>
    <mergeCell ref="B48:E48"/>
    <mergeCell ref="A35:E35"/>
    <mergeCell ref="B8:E8"/>
    <mergeCell ref="A30:E30"/>
    <mergeCell ref="A34:E34"/>
    <mergeCell ref="B9:E9"/>
    <mergeCell ref="B40:E40"/>
    <mergeCell ref="B49:E49"/>
  </mergeCells>
  <conditionalFormatting sqref="B12">
    <cfRule type="expression" dxfId="11" priority="1">
      <formula>OR(LEFT($B$12,5)="Meets",LEFT($B$12,7)="Exceeds")</formula>
    </cfRule>
    <cfRule type="expression" dxfId="10" priority="2">
      <formula>OR($B$12="Approaching",LEFT($B$12,3)="Not",LEFT($B$12,10)="Incomplete",AND(LEFT($B$12,4)="Does",c_approaching=1))</formula>
    </cfRule>
    <cfRule type="expression" dxfId="9" priority="3">
      <formula>OR($B$12="Not met",AND(LEFT($B$12,4)="Does",c_approaching=0))</formula>
    </cfRule>
  </conditionalFormatting>
  <conditionalFormatting sqref="D17">
    <cfRule type="expression" dxfId="8" priority="4">
      <formula>OR(LEFT($D$17,5)="Meets",LEFT($D$17,7)="Exceeds")</formula>
    </cfRule>
    <cfRule type="expression" dxfId="7" priority="5">
      <formula>OR($D$17="Approaching",LEFT($D$17,3)="Not",LEFT($D$17,10)="Incomplete",AND(LEFT($D$17,4)="Does",c_approaching=1))</formula>
    </cfRule>
    <cfRule type="expression" dxfId="6" priority="6">
      <formula>OR($D$17="Not met",AND(LEFT($D$17,4)="Does",c_approaching=0))</formula>
    </cfRule>
  </conditionalFormatting>
  <conditionalFormatting sqref="D18">
    <cfRule type="expression" dxfId="5" priority="7">
      <formula>OR(LEFT($D$18,5)="Meets",LEFT($D$18,7)="Exceeds")</formula>
    </cfRule>
    <cfRule type="expression" dxfId="4" priority="8">
      <formula>OR($D$18="Approaching",LEFT($D$18,3)="Not",LEFT($D$18,10)="Incomplete",AND(LEFT($D$18,4)="Does",c_approaching=1))</formula>
    </cfRule>
    <cfRule type="expression" dxfId="3" priority="9">
      <formula>OR($D$18="Not met",AND(LEFT($D$18,4)="Does",c_approaching=0))</formula>
    </cfRule>
  </conditionalFormatting>
  <conditionalFormatting sqref="D19">
    <cfRule type="expression" dxfId="2" priority="10">
      <formula>OR(LEFT($D$19,5)="Meets",LEFT($D$19,7)="Exceeds")</formula>
    </cfRule>
    <cfRule type="expression" dxfId="1" priority="11">
      <formula>OR($D$19="Approaching",LEFT($D$19,3)="Not",LEFT($D$19,10)="Incomplete",AND(LEFT($D$19,4)="Does",c_approaching=1))</formula>
    </cfRule>
    <cfRule type="expression" dxfId="0" priority="12">
      <formula>OR($D$19="Not met",AND(LEFT($D$19,4)="Does",c_approaching=0))</formula>
    </cfRule>
  </conditionalFormatting>
  <printOptions horizontalCentered="1"/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2" customWidth="1"/>
    <col min="2" max="2" width="30" customWidth="1"/>
    <col min="3" max="3" width="60" customWidth="1"/>
    <col min="4" max="4" width="18" customWidth="1"/>
    <col min="5" max="5" width="22" customWidth="1"/>
  </cols>
  <sheetData>
    <row r="1" spans="1:3" ht="21" x14ac:dyDescent="0.3">
      <c r="A1" s="1" t="s">
        <v>202</v>
      </c>
    </row>
    <row r="2" spans="1:3" x14ac:dyDescent="0.3">
      <c r="A2" s="2" t="s">
        <v>203</v>
      </c>
    </row>
    <row r="4" spans="1:3" x14ac:dyDescent="0.3">
      <c r="A4" s="4" t="s">
        <v>204</v>
      </c>
      <c r="B4" s="18" t="s">
        <v>205</v>
      </c>
    </row>
    <row r="5" spans="1:3" x14ac:dyDescent="0.3">
      <c r="A5" s="4" t="s">
        <v>206</v>
      </c>
      <c r="B5" s="18" t="s">
        <v>207</v>
      </c>
    </row>
    <row r="7" spans="1:3" x14ac:dyDescent="0.3">
      <c r="A7" s="27" t="s">
        <v>208</v>
      </c>
      <c r="B7" s="27" t="s">
        <v>209</v>
      </c>
      <c r="C7" s="27" t="s">
        <v>210</v>
      </c>
    </row>
    <row r="8" spans="1:3" x14ac:dyDescent="0.3">
      <c r="A8" s="5" t="s">
        <v>211</v>
      </c>
      <c r="B8" s="18">
        <v>50</v>
      </c>
    </row>
    <row r="9" spans="1:3" x14ac:dyDescent="0.3">
      <c r="A9" s="5" t="s">
        <v>212</v>
      </c>
      <c r="B9" s="18">
        <v>35</v>
      </c>
    </row>
    <row r="10" spans="1:3" x14ac:dyDescent="0.3">
      <c r="A10" s="5" t="s">
        <v>213</v>
      </c>
      <c r="B10" s="18">
        <v>15</v>
      </c>
    </row>
    <row r="11" spans="1:3" x14ac:dyDescent="0.3">
      <c r="A11" s="5" t="s">
        <v>214</v>
      </c>
      <c r="B11" s="18">
        <v>0.7</v>
      </c>
    </row>
    <row r="12" spans="1:3" x14ac:dyDescent="0.3">
      <c r="A12" s="5" t="s">
        <v>215</v>
      </c>
      <c r="B12" s="18">
        <v>70</v>
      </c>
    </row>
    <row r="13" spans="1:3" x14ac:dyDescent="0.3">
      <c r="A13" s="5" t="s">
        <v>216</v>
      </c>
      <c r="B13" s="18" t="s">
        <v>217</v>
      </c>
    </row>
    <row r="14" spans="1:3" x14ac:dyDescent="0.3">
      <c r="A14" s="5" t="s">
        <v>218</v>
      </c>
      <c r="B14" s="18">
        <v>85</v>
      </c>
    </row>
    <row r="15" spans="1:3" ht="66" x14ac:dyDescent="0.3">
      <c r="A15" s="5" t="s">
        <v>219</v>
      </c>
      <c r="B15" s="18" t="s">
        <v>220</v>
      </c>
      <c r="C15" s="26" t="s">
        <v>221</v>
      </c>
    </row>
    <row r="16" spans="1:3" x14ac:dyDescent="0.3">
      <c r="A16" s="5" t="s">
        <v>222</v>
      </c>
      <c r="B16" s="18">
        <v>0.8</v>
      </c>
    </row>
    <row r="17" spans="1:3" x14ac:dyDescent="0.3">
      <c r="A17" s="5" t="s">
        <v>223</v>
      </c>
      <c r="B17" s="18">
        <v>80</v>
      </c>
    </row>
    <row r="18" spans="1:3" x14ac:dyDescent="0.3">
      <c r="A18" s="5" t="s">
        <v>224</v>
      </c>
      <c r="B18" s="18">
        <v>60</v>
      </c>
    </row>
    <row r="19" spans="1:3" x14ac:dyDescent="0.3">
      <c r="A19" s="5" t="s">
        <v>225</v>
      </c>
      <c r="B19" s="18">
        <v>0.85</v>
      </c>
    </row>
    <row r="20" spans="1:3" x14ac:dyDescent="0.3">
      <c r="A20" s="5" t="s">
        <v>226</v>
      </c>
      <c r="B20" s="18">
        <v>0.9</v>
      </c>
    </row>
    <row r="22" spans="1:3" x14ac:dyDescent="0.3">
      <c r="A22" s="27" t="s">
        <v>227</v>
      </c>
      <c r="B22" s="27" t="s">
        <v>209</v>
      </c>
      <c r="C22" s="27" t="s">
        <v>210</v>
      </c>
    </row>
    <row r="23" spans="1:3" x14ac:dyDescent="0.3">
      <c r="A23" s="5" t="s">
        <v>228</v>
      </c>
      <c r="B23" s="18">
        <v>2</v>
      </c>
    </row>
    <row r="24" spans="1:3" x14ac:dyDescent="0.3">
      <c r="A24" s="5" t="s">
        <v>229</v>
      </c>
      <c r="B24" s="18" t="s">
        <v>230</v>
      </c>
    </row>
    <row r="26" spans="1:3" x14ac:dyDescent="0.3">
      <c r="A26" s="27" t="s">
        <v>231</v>
      </c>
      <c r="B26" s="27" t="s">
        <v>209</v>
      </c>
      <c r="C26" s="27" t="s">
        <v>210</v>
      </c>
    </row>
    <row r="27" spans="1:3" x14ac:dyDescent="0.3">
      <c r="A27" s="5" t="s">
        <v>232</v>
      </c>
      <c r="B27" s="18">
        <v>40</v>
      </c>
    </row>
    <row r="28" spans="1:3" x14ac:dyDescent="0.3">
      <c r="A28" s="5" t="s">
        <v>233</v>
      </c>
      <c r="B28" s="18">
        <v>0.25</v>
      </c>
    </row>
    <row r="29" spans="1:3" x14ac:dyDescent="0.3">
      <c r="A29" s="5" t="s">
        <v>234</v>
      </c>
      <c r="B29" s="18">
        <v>1.5</v>
      </c>
    </row>
    <row r="30" spans="1:3" x14ac:dyDescent="0.3">
      <c r="A30" s="5" t="s">
        <v>235</v>
      </c>
      <c r="B30" s="18" t="s">
        <v>230</v>
      </c>
    </row>
    <row r="31" spans="1:3" x14ac:dyDescent="0.3">
      <c r="A31" s="5" t="s">
        <v>236</v>
      </c>
      <c r="B31" s="18">
        <v>0.5</v>
      </c>
    </row>
    <row r="32" spans="1:3" ht="39.6" x14ac:dyDescent="0.3">
      <c r="A32" s="5" t="s">
        <v>237</v>
      </c>
      <c r="B32" s="18" t="s">
        <v>238</v>
      </c>
      <c r="C32" s="26" t="s">
        <v>239</v>
      </c>
    </row>
    <row r="33" spans="1:3" x14ac:dyDescent="0.3">
      <c r="A33" s="5" t="s">
        <v>240</v>
      </c>
      <c r="B33" s="18">
        <v>1</v>
      </c>
    </row>
    <row r="34" spans="1:3" ht="39.6" x14ac:dyDescent="0.3">
      <c r="A34" s="5" t="s">
        <v>241</v>
      </c>
      <c r="B34" s="18" t="s">
        <v>242</v>
      </c>
      <c r="C34" s="26" t="s">
        <v>243</v>
      </c>
    </row>
    <row r="36" spans="1:3" x14ac:dyDescent="0.3">
      <c r="A36" s="27" t="s">
        <v>244</v>
      </c>
      <c r="B36" s="27" t="s">
        <v>209</v>
      </c>
      <c r="C36" s="27" t="s">
        <v>210</v>
      </c>
    </row>
    <row r="37" spans="1:3" x14ac:dyDescent="0.3">
      <c r="A37" s="5" t="s">
        <v>245</v>
      </c>
      <c r="B37" s="18" t="s">
        <v>217</v>
      </c>
    </row>
    <row r="38" spans="1:3" x14ac:dyDescent="0.3">
      <c r="A38" s="5" t="s">
        <v>246</v>
      </c>
      <c r="B38" s="18" t="s">
        <v>217</v>
      </c>
    </row>
    <row r="39" spans="1:3" x14ac:dyDescent="0.3">
      <c r="A39" s="5" t="s">
        <v>247</v>
      </c>
      <c r="B39" s="18" t="s">
        <v>217</v>
      </c>
    </row>
    <row r="40" spans="1:3" ht="26.4" x14ac:dyDescent="0.3">
      <c r="A40" s="5" t="s">
        <v>248</v>
      </c>
      <c r="B40" s="18" t="s">
        <v>217</v>
      </c>
    </row>
    <row r="41" spans="1:3" x14ac:dyDescent="0.3">
      <c r="A41" s="5" t="s">
        <v>249</v>
      </c>
      <c r="B41" s="18">
        <v>10000</v>
      </c>
    </row>
    <row r="42" spans="1:3" x14ac:dyDescent="0.3">
      <c r="A42" s="5" t="s">
        <v>250</v>
      </c>
      <c r="B42" s="18">
        <v>250000</v>
      </c>
    </row>
    <row r="43" spans="1:3" ht="26.4" x14ac:dyDescent="0.3">
      <c r="A43" s="5" t="s">
        <v>251</v>
      </c>
      <c r="B43" s="18" t="s">
        <v>252</v>
      </c>
      <c r="C43" s="26" t="s">
        <v>253</v>
      </c>
    </row>
    <row r="44" spans="1:3" x14ac:dyDescent="0.3">
      <c r="A44" s="5" t="s">
        <v>254</v>
      </c>
      <c r="B44" s="18" t="s">
        <v>217</v>
      </c>
    </row>
    <row r="45" spans="1:3" x14ac:dyDescent="0.3">
      <c r="A45" s="5" t="s">
        <v>255</v>
      </c>
      <c r="B45" s="18" t="s">
        <v>256</v>
      </c>
    </row>
    <row r="46" spans="1:3" x14ac:dyDescent="0.3">
      <c r="A46" s="5" t="s">
        <v>257</v>
      </c>
      <c r="B46" s="18" t="s">
        <v>258</v>
      </c>
    </row>
    <row r="47" spans="1:3" x14ac:dyDescent="0.3">
      <c r="A47" s="5" t="s">
        <v>259</v>
      </c>
      <c r="B47" s="18" t="s">
        <v>258</v>
      </c>
    </row>
    <row r="49" spans="1:3" x14ac:dyDescent="0.3">
      <c r="A49" s="27" t="s">
        <v>260</v>
      </c>
      <c r="B49" s="27" t="s">
        <v>209</v>
      </c>
      <c r="C49" s="27" t="s">
        <v>210</v>
      </c>
    </row>
    <row r="50" spans="1:3" x14ac:dyDescent="0.3">
      <c r="A50" s="5" t="s">
        <v>261</v>
      </c>
      <c r="B50" s="18">
        <v>2</v>
      </c>
    </row>
    <row r="51" spans="1:3" x14ac:dyDescent="0.3">
      <c r="A51" s="5" t="s">
        <v>262</v>
      </c>
      <c r="B51" s="18">
        <v>1</v>
      </c>
    </row>
    <row r="52" spans="1:3" x14ac:dyDescent="0.3">
      <c r="A52" s="5" t="s">
        <v>263</v>
      </c>
      <c r="B52" s="18">
        <v>1</v>
      </c>
    </row>
    <row r="53" spans="1:3" x14ac:dyDescent="0.3">
      <c r="A53" s="5" t="s">
        <v>264</v>
      </c>
      <c r="B53" s="18">
        <v>4</v>
      </c>
    </row>
    <row r="54" spans="1:3" x14ac:dyDescent="0.3">
      <c r="A54" s="5" t="s">
        <v>265</v>
      </c>
      <c r="B54" s="18">
        <v>4</v>
      </c>
    </row>
    <row r="55" spans="1:3" x14ac:dyDescent="0.3">
      <c r="A55" s="5" t="s">
        <v>266</v>
      </c>
      <c r="B55" s="18">
        <v>4</v>
      </c>
    </row>
    <row r="56" spans="1:3" x14ac:dyDescent="0.3">
      <c r="A56" s="5" t="s">
        <v>267</v>
      </c>
      <c r="B56" s="18">
        <v>0.25</v>
      </c>
    </row>
    <row r="57" spans="1:3" x14ac:dyDescent="0.3">
      <c r="A57" s="5" t="s">
        <v>268</v>
      </c>
      <c r="B57" s="18">
        <v>3</v>
      </c>
    </row>
    <row r="58" spans="1:3" x14ac:dyDescent="0.3">
      <c r="A58" s="5" t="s">
        <v>269</v>
      </c>
      <c r="B58" s="18">
        <v>0.7</v>
      </c>
    </row>
    <row r="59" spans="1:3" x14ac:dyDescent="0.3">
      <c r="A59" s="5" t="s">
        <v>270</v>
      </c>
      <c r="B59" s="18">
        <v>0.75</v>
      </c>
    </row>
    <row r="60" spans="1:3" x14ac:dyDescent="0.3">
      <c r="A60" s="5" t="s">
        <v>271</v>
      </c>
      <c r="B60" s="18">
        <v>2.25</v>
      </c>
    </row>
    <row r="61" spans="1:3" x14ac:dyDescent="0.3">
      <c r="A61" s="5" t="s">
        <v>272</v>
      </c>
      <c r="B61" s="18">
        <v>2</v>
      </c>
    </row>
    <row r="62" spans="1:3" x14ac:dyDescent="0.3">
      <c r="A62" s="5" t="s">
        <v>273</v>
      </c>
      <c r="B62" s="18">
        <v>1</v>
      </c>
    </row>
    <row r="63" spans="1:3" x14ac:dyDescent="0.3">
      <c r="A63" s="5" t="s">
        <v>274</v>
      </c>
      <c r="B63" s="18">
        <v>0.5</v>
      </c>
    </row>
    <row r="64" spans="1:3" x14ac:dyDescent="0.3">
      <c r="A64" s="5" t="s">
        <v>275</v>
      </c>
      <c r="B64" s="18">
        <v>1</v>
      </c>
    </row>
    <row r="65" spans="1:3" x14ac:dyDescent="0.3">
      <c r="A65" s="5" t="s">
        <v>276</v>
      </c>
      <c r="B65" s="18">
        <v>0.5</v>
      </c>
    </row>
    <row r="66" spans="1:3" x14ac:dyDescent="0.3">
      <c r="A66" s="5" t="s">
        <v>277</v>
      </c>
      <c r="B66" s="18">
        <v>0.75</v>
      </c>
    </row>
    <row r="67" spans="1:3" x14ac:dyDescent="0.3">
      <c r="A67" s="5" t="s">
        <v>278</v>
      </c>
      <c r="B67" s="18">
        <v>0.25</v>
      </c>
    </row>
    <row r="68" spans="1:3" x14ac:dyDescent="0.3">
      <c r="A68" s="5" t="s">
        <v>279</v>
      </c>
      <c r="B68" s="18">
        <v>2.5</v>
      </c>
    </row>
    <row r="69" spans="1:3" x14ac:dyDescent="0.3">
      <c r="A69" s="5" t="s">
        <v>280</v>
      </c>
      <c r="B69" s="18">
        <v>0.5</v>
      </c>
    </row>
    <row r="70" spans="1:3" x14ac:dyDescent="0.3">
      <c r="A70" s="5" t="s">
        <v>281</v>
      </c>
      <c r="B70" s="18">
        <v>1</v>
      </c>
    </row>
    <row r="71" spans="1:3" x14ac:dyDescent="0.3">
      <c r="A71" s="5" t="s">
        <v>282</v>
      </c>
      <c r="B71" s="18">
        <v>0.75</v>
      </c>
    </row>
    <row r="72" spans="1:3" x14ac:dyDescent="0.3">
      <c r="A72" s="5" t="s">
        <v>283</v>
      </c>
      <c r="B72" s="18">
        <v>0.25</v>
      </c>
    </row>
    <row r="73" spans="1:3" x14ac:dyDescent="0.3">
      <c r="A73" s="5" t="s">
        <v>284</v>
      </c>
      <c r="B73" s="18">
        <v>0.75</v>
      </c>
    </row>
    <row r="74" spans="1:3" x14ac:dyDescent="0.3">
      <c r="A74" s="5" t="s">
        <v>285</v>
      </c>
      <c r="B74" s="18">
        <v>0.3</v>
      </c>
    </row>
    <row r="75" spans="1:3" x14ac:dyDescent="0.3">
      <c r="A75" s="5" t="s">
        <v>286</v>
      </c>
      <c r="B75" s="18">
        <v>0.6</v>
      </c>
    </row>
    <row r="76" spans="1:3" x14ac:dyDescent="0.3">
      <c r="A76" s="5" t="s">
        <v>287</v>
      </c>
      <c r="B76" s="18">
        <v>1</v>
      </c>
    </row>
    <row r="78" spans="1:3" x14ac:dyDescent="0.3">
      <c r="A78" s="27" t="s">
        <v>25</v>
      </c>
    </row>
    <row r="79" spans="1:3" x14ac:dyDescent="0.3">
      <c r="A79" s="10" t="s">
        <v>81</v>
      </c>
      <c r="B79" s="10" t="s">
        <v>288</v>
      </c>
      <c r="C79" s="10" t="s">
        <v>289</v>
      </c>
    </row>
    <row r="80" spans="1:3" x14ac:dyDescent="0.3">
      <c r="A80" s="18" t="s">
        <v>26</v>
      </c>
      <c r="B80" s="18">
        <v>1</v>
      </c>
      <c r="C80" s="18">
        <v>1.5</v>
      </c>
    </row>
    <row r="81" spans="1:3" x14ac:dyDescent="0.3">
      <c r="A81" s="18" t="s">
        <v>28</v>
      </c>
      <c r="B81" s="18">
        <v>2</v>
      </c>
      <c r="C81" s="18">
        <v>1.25</v>
      </c>
    </row>
    <row r="82" spans="1:3" x14ac:dyDescent="0.3">
      <c r="A82" s="18" t="s">
        <v>30</v>
      </c>
      <c r="B82" s="18">
        <v>3</v>
      </c>
      <c r="C82" s="18">
        <v>1</v>
      </c>
    </row>
    <row r="83" spans="1:3" x14ac:dyDescent="0.3">
      <c r="A83" s="18" t="s">
        <v>290</v>
      </c>
      <c r="B83" s="18">
        <v>0</v>
      </c>
      <c r="C83" s="18">
        <v>0</v>
      </c>
    </row>
    <row r="85" spans="1:3" x14ac:dyDescent="0.3">
      <c r="A85" s="27" t="s">
        <v>291</v>
      </c>
    </row>
    <row r="86" spans="1:3" x14ac:dyDescent="0.3">
      <c r="A86" s="10" t="s">
        <v>83</v>
      </c>
      <c r="B86" s="10" t="s">
        <v>289</v>
      </c>
    </row>
    <row r="87" spans="1:3" x14ac:dyDescent="0.3">
      <c r="A87" s="18" t="s">
        <v>292</v>
      </c>
      <c r="B87" s="18">
        <v>1</v>
      </c>
    </row>
    <row r="88" spans="1:3" x14ac:dyDescent="0.3">
      <c r="A88" s="18" t="s">
        <v>293</v>
      </c>
      <c r="B88" s="18">
        <v>0.85</v>
      </c>
    </row>
    <row r="89" spans="1:3" x14ac:dyDescent="0.3">
      <c r="A89" s="18" t="s">
        <v>258</v>
      </c>
      <c r="B89" s="18">
        <v>0.7</v>
      </c>
    </row>
    <row r="91" spans="1:3" x14ac:dyDescent="0.3">
      <c r="A91" s="27" t="s">
        <v>294</v>
      </c>
    </row>
    <row r="92" spans="1:3" x14ac:dyDescent="0.3">
      <c r="A92" s="10" t="s">
        <v>295</v>
      </c>
      <c r="B92" s="10" t="s">
        <v>85</v>
      </c>
    </row>
    <row r="93" spans="1:3" x14ac:dyDescent="0.3">
      <c r="A93" s="18" t="s">
        <v>296</v>
      </c>
      <c r="B93" s="18" t="s">
        <v>292</v>
      </c>
    </row>
    <row r="94" spans="1:3" x14ac:dyDescent="0.3">
      <c r="A94" s="18" t="s">
        <v>297</v>
      </c>
      <c r="B94" s="18" t="s">
        <v>292</v>
      </c>
    </row>
    <row r="95" spans="1:3" x14ac:dyDescent="0.3">
      <c r="A95" s="18" t="s">
        <v>298</v>
      </c>
      <c r="B95" s="18" t="s">
        <v>292</v>
      </c>
    </row>
    <row r="96" spans="1:3" x14ac:dyDescent="0.3">
      <c r="A96" s="18" t="s">
        <v>299</v>
      </c>
      <c r="B96" s="18" t="s">
        <v>293</v>
      </c>
    </row>
    <row r="97" spans="1:2" x14ac:dyDescent="0.3">
      <c r="A97" s="18" t="s">
        <v>300</v>
      </c>
      <c r="B97" s="18" t="s">
        <v>258</v>
      </c>
    </row>
    <row r="99" spans="1:2" x14ac:dyDescent="0.3">
      <c r="A99" s="27" t="s">
        <v>301</v>
      </c>
    </row>
    <row r="100" spans="1:2" x14ac:dyDescent="0.3">
      <c r="A100" s="10" t="s">
        <v>295</v>
      </c>
      <c r="B100" s="10" t="s">
        <v>302</v>
      </c>
    </row>
    <row r="101" spans="1:2" x14ac:dyDescent="0.3">
      <c r="A101" s="18" t="s">
        <v>303</v>
      </c>
      <c r="B101" s="18" t="s">
        <v>304</v>
      </c>
    </row>
    <row r="102" spans="1:2" x14ac:dyDescent="0.3">
      <c r="A102" s="18" t="s">
        <v>305</v>
      </c>
      <c r="B102" s="18" t="s">
        <v>306</v>
      </c>
    </row>
    <row r="103" spans="1:2" x14ac:dyDescent="0.3">
      <c r="A103" s="18" t="s">
        <v>270</v>
      </c>
      <c r="B103" s="18" t="s">
        <v>307</v>
      </c>
    </row>
    <row r="104" spans="1:2" x14ac:dyDescent="0.3">
      <c r="A104" s="18" t="s">
        <v>308</v>
      </c>
      <c r="B104" s="18" t="s">
        <v>309</v>
      </c>
    </row>
    <row r="105" spans="1:2" x14ac:dyDescent="0.3">
      <c r="A105" s="18" t="s">
        <v>310</v>
      </c>
      <c r="B105" s="18" t="s">
        <v>311</v>
      </c>
    </row>
    <row r="106" spans="1:2" x14ac:dyDescent="0.3">
      <c r="A106" s="18" t="s">
        <v>312</v>
      </c>
      <c r="B106" s="18" t="s">
        <v>313</v>
      </c>
    </row>
    <row r="107" spans="1:2" x14ac:dyDescent="0.3">
      <c r="A107" s="18" t="s">
        <v>314</v>
      </c>
      <c r="B107" s="18" t="s">
        <v>315</v>
      </c>
    </row>
    <row r="108" spans="1:2" x14ac:dyDescent="0.3">
      <c r="A108" s="18" t="s">
        <v>316</v>
      </c>
      <c r="B108" s="18" t="s">
        <v>317</v>
      </c>
    </row>
    <row r="109" spans="1:2" x14ac:dyDescent="0.3">
      <c r="A109" s="18" t="s">
        <v>318</v>
      </c>
      <c r="B109" s="18" t="s">
        <v>319</v>
      </c>
    </row>
    <row r="110" spans="1:2" x14ac:dyDescent="0.3">
      <c r="A110" s="18" t="s">
        <v>320</v>
      </c>
      <c r="B110" s="18" t="s">
        <v>321</v>
      </c>
    </row>
    <row r="111" spans="1:2" x14ac:dyDescent="0.3">
      <c r="A111" s="18" t="s">
        <v>322</v>
      </c>
      <c r="B111" s="18" t="s">
        <v>323</v>
      </c>
    </row>
    <row r="113" spans="1:2" x14ac:dyDescent="0.3">
      <c r="A113" s="27" t="s">
        <v>324</v>
      </c>
    </row>
    <row r="114" spans="1:2" x14ac:dyDescent="0.3">
      <c r="A114" s="10" t="s">
        <v>302</v>
      </c>
      <c r="B114" s="10" t="s">
        <v>144</v>
      </c>
    </row>
    <row r="115" spans="1:2" x14ac:dyDescent="0.3">
      <c r="A115" s="18" t="s">
        <v>309</v>
      </c>
      <c r="B115" s="18">
        <v>1</v>
      </c>
    </row>
    <row r="116" spans="1:2" x14ac:dyDescent="0.3">
      <c r="A116" s="18" t="s">
        <v>311</v>
      </c>
      <c r="B116" s="18">
        <v>0.5</v>
      </c>
    </row>
    <row r="117" spans="1:2" x14ac:dyDescent="0.3">
      <c r="A117" s="18" t="s">
        <v>313</v>
      </c>
      <c r="B117" s="18">
        <v>0.5</v>
      </c>
    </row>
    <row r="118" spans="1:2" x14ac:dyDescent="0.3">
      <c r="A118" s="18" t="s">
        <v>315</v>
      </c>
      <c r="B118" s="18">
        <v>0.75</v>
      </c>
    </row>
    <row r="119" spans="1:2" x14ac:dyDescent="0.3">
      <c r="A119" s="18" t="s">
        <v>317</v>
      </c>
      <c r="B119" s="18">
        <v>0.75</v>
      </c>
    </row>
    <row r="120" spans="1:2" x14ac:dyDescent="0.3">
      <c r="A120" s="18" t="s">
        <v>319</v>
      </c>
      <c r="B120" s="18">
        <v>0.4</v>
      </c>
    </row>
    <row r="121" spans="1:2" x14ac:dyDescent="0.3">
      <c r="A121" s="18" t="s">
        <v>321</v>
      </c>
      <c r="B121" s="18">
        <v>0.2</v>
      </c>
    </row>
    <row r="122" spans="1:2" x14ac:dyDescent="0.3">
      <c r="A122" s="18" t="s">
        <v>325</v>
      </c>
      <c r="B122" s="18">
        <v>0.4</v>
      </c>
    </row>
    <row r="123" spans="1:2" x14ac:dyDescent="0.3">
      <c r="A123" s="18" t="s">
        <v>323</v>
      </c>
      <c r="B123" s="18">
        <v>0.2</v>
      </c>
    </row>
    <row r="124" spans="1:2" x14ac:dyDescent="0.3">
      <c r="A124" s="18" t="s">
        <v>326</v>
      </c>
      <c r="B124" s="18">
        <v>1</v>
      </c>
    </row>
    <row r="125" spans="1:2" x14ac:dyDescent="0.3">
      <c r="A125" s="18" t="s">
        <v>327</v>
      </c>
      <c r="B125" s="18">
        <v>0.4</v>
      </c>
    </row>
    <row r="127" spans="1:2" x14ac:dyDescent="0.3">
      <c r="A127" s="27" t="s">
        <v>328</v>
      </c>
    </row>
    <row r="128" spans="1:2" x14ac:dyDescent="0.3">
      <c r="A128" s="10" t="s">
        <v>83</v>
      </c>
      <c r="B128" s="10" t="s">
        <v>144</v>
      </c>
    </row>
    <row r="129" spans="1:5" x14ac:dyDescent="0.3">
      <c r="A129" s="18" t="s">
        <v>329</v>
      </c>
      <c r="B129" s="18">
        <v>1</v>
      </c>
    </row>
    <row r="130" spans="1:5" x14ac:dyDescent="0.3">
      <c r="A130" s="18" t="s">
        <v>330</v>
      </c>
      <c r="B130" s="18">
        <v>0.75</v>
      </c>
    </row>
    <row r="131" spans="1:5" x14ac:dyDescent="0.3">
      <c r="A131" s="18" t="s">
        <v>331</v>
      </c>
      <c r="B131" s="18">
        <v>0.5</v>
      </c>
    </row>
    <row r="132" spans="1:5" x14ac:dyDescent="0.3">
      <c r="A132" s="18" t="s">
        <v>332</v>
      </c>
      <c r="B132" s="18">
        <v>0.5</v>
      </c>
    </row>
    <row r="133" spans="1:5" x14ac:dyDescent="0.3">
      <c r="A133" s="18" t="s">
        <v>333</v>
      </c>
      <c r="B133" s="18">
        <v>0.1</v>
      </c>
    </row>
    <row r="135" spans="1:5" x14ac:dyDescent="0.3">
      <c r="A135" s="27" t="s">
        <v>334</v>
      </c>
    </row>
    <row r="136" spans="1:5" ht="26.4" x14ac:dyDescent="0.3">
      <c r="A136" s="10" t="s">
        <v>83</v>
      </c>
      <c r="B136" s="10" t="s">
        <v>302</v>
      </c>
      <c r="C136" s="10" t="s">
        <v>289</v>
      </c>
      <c r="D136" s="10" t="s">
        <v>110</v>
      </c>
      <c r="E136" s="10" t="s">
        <v>335</v>
      </c>
    </row>
    <row r="137" spans="1:5" x14ac:dyDescent="0.3">
      <c r="A137" s="18" t="s">
        <v>336</v>
      </c>
      <c r="B137" s="18" t="s">
        <v>336</v>
      </c>
      <c r="C137" s="18">
        <v>1</v>
      </c>
      <c r="D137" s="18" t="s">
        <v>217</v>
      </c>
      <c r="E137" s="18" t="s">
        <v>217</v>
      </c>
    </row>
    <row r="138" spans="1:5" x14ac:dyDescent="0.3">
      <c r="A138" s="18" t="s">
        <v>337</v>
      </c>
      <c r="B138" s="18" t="s">
        <v>337</v>
      </c>
      <c r="C138" s="18">
        <v>1</v>
      </c>
      <c r="D138" s="18" t="s">
        <v>217</v>
      </c>
      <c r="E138" s="18" t="s">
        <v>217</v>
      </c>
    </row>
    <row r="139" spans="1:5" x14ac:dyDescent="0.3">
      <c r="A139" s="18" t="s">
        <v>338</v>
      </c>
      <c r="B139" s="18" t="s">
        <v>338</v>
      </c>
      <c r="C139" s="18">
        <v>0.8</v>
      </c>
      <c r="D139" s="18" t="s">
        <v>217</v>
      </c>
      <c r="E139" s="18" t="s">
        <v>217</v>
      </c>
    </row>
    <row r="140" spans="1:5" x14ac:dyDescent="0.3">
      <c r="A140" s="18" t="s">
        <v>339</v>
      </c>
      <c r="B140" s="18" t="s">
        <v>339</v>
      </c>
      <c r="C140" s="18">
        <v>0.5</v>
      </c>
      <c r="D140" s="18" t="s">
        <v>217</v>
      </c>
      <c r="E140" s="18" t="s">
        <v>217</v>
      </c>
    </row>
    <row r="141" spans="1:5" x14ac:dyDescent="0.3">
      <c r="A141" s="18" t="s">
        <v>340</v>
      </c>
      <c r="B141" s="18" t="s">
        <v>341</v>
      </c>
      <c r="C141" s="18">
        <v>0.25</v>
      </c>
      <c r="D141" s="18" t="s">
        <v>230</v>
      </c>
      <c r="E141" s="18" t="s">
        <v>230</v>
      </c>
    </row>
    <row r="142" spans="1:5" x14ac:dyDescent="0.3">
      <c r="A142" s="18" t="s">
        <v>342</v>
      </c>
      <c r="B142" s="18" t="s">
        <v>343</v>
      </c>
      <c r="C142" s="18">
        <v>0.25</v>
      </c>
      <c r="D142" s="18" t="s">
        <v>230</v>
      </c>
      <c r="E142" s="18" t="s">
        <v>230</v>
      </c>
    </row>
    <row r="144" spans="1:5" x14ac:dyDescent="0.3">
      <c r="A144" s="27" t="s">
        <v>344</v>
      </c>
    </row>
    <row r="145" spans="1:3" x14ac:dyDescent="0.3">
      <c r="A145" s="10" t="s">
        <v>345</v>
      </c>
      <c r="B145" s="10" t="s">
        <v>346</v>
      </c>
      <c r="C145" s="10" t="s">
        <v>347</v>
      </c>
    </row>
    <row r="146" spans="1:3" x14ac:dyDescent="0.3">
      <c r="A146" s="18" t="s">
        <v>348</v>
      </c>
      <c r="B146" s="18">
        <v>0.4</v>
      </c>
      <c r="C146" s="18">
        <v>0.75</v>
      </c>
    </row>
    <row r="147" spans="1:3" x14ac:dyDescent="0.3">
      <c r="A147" s="18" t="s">
        <v>349</v>
      </c>
      <c r="B147" s="18">
        <v>0.5</v>
      </c>
      <c r="C147" s="18">
        <v>1</v>
      </c>
    </row>
    <row r="148" spans="1:3" x14ac:dyDescent="0.3">
      <c r="A148" s="18" t="s">
        <v>350</v>
      </c>
      <c r="B148" s="18">
        <v>1</v>
      </c>
      <c r="C148" s="18">
        <v>2</v>
      </c>
    </row>
    <row r="149" spans="1:3" x14ac:dyDescent="0.3">
      <c r="A149" s="18" t="s">
        <v>351</v>
      </c>
      <c r="B149" s="18">
        <v>1.5</v>
      </c>
      <c r="C149" s="18">
        <v>3</v>
      </c>
    </row>
    <row r="151" spans="1:3" x14ac:dyDescent="0.3">
      <c r="A151" s="27" t="s">
        <v>352</v>
      </c>
    </row>
    <row r="152" spans="1:3" x14ac:dyDescent="0.3">
      <c r="A152" s="10" t="s">
        <v>353</v>
      </c>
      <c r="B152" s="10" t="s">
        <v>144</v>
      </c>
    </row>
    <row r="153" spans="1:3" x14ac:dyDescent="0.3">
      <c r="A153" s="18" t="s">
        <v>354</v>
      </c>
      <c r="B153" s="18">
        <v>0.75</v>
      </c>
    </row>
    <row r="154" spans="1:3" x14ac:dyDescent="0.3">
      <c r="A154" s="18" t="s">
        <v>355</v>
      </c>
      <c r="B154" s="18">
        <v>0.4</v>
      </c>
    </row>
    <row r="156" spans="1:3" x14ac:dyDescent="0.3">
      <c r="A156" s="27" t="s">
        <v>356</v>
      </c>
    </row>
    <row r="157" spans="1:3" x14ac:dyDescent="0.3">
      <c r="A157" s="10" t="s">
        <v>66</v>
      </c>
      <c r="B157" s="10" t="s">
        <v>132</v>
      </c>
      <c r="C157" s="10" t="s">
        <v>357</v>
      </c>
    </row>
    <row r="158" spans="1:3" x14ac:dyDescent="0.3">
      <c r="A158" s="18" t="s">
        <v>358</v>
      </c>
      <c r="B158" s="18">
        <v>2</v>
      </c>
      <c r="C158" s="18" t="s">
        <v>230</v>
      </c>
    </row>
    <row r="159" spans="1:3" x14ac:dyDescent="0.3">
      <c r="A159" s="18" t="s">
        <v>359</v>
      </c>
      <c r="B159" s="18">
        <v>2</v>
      </c>
      <c r="C159" s="18" t="s">
        <v>230</v>
      </c>
    </row>
    <row r="160" spans="1:3" x14ac:dyDescent="0.3">
      <c r="A160" s="18" t="s">
        <v>360</v>
      </c>
      <c r="B160" s="18">
        <v>1.25</v>
      </c>
      <c r="C160" s="18" t="s">
        <v>230</v>
      </c>
    </row>
    <row r="161" spans="1:3" x14ac:dyDescent="0.3">
      <c r="A161" s="18" t="s">
        <v>361</v>
      </c>
      <c r="B161" s="18">
        <v>1</v>
      </c>
      <c r="C161" s="18" t="s">
        <v>230</v>
      </c>
    </row>
    <row r="162" spans="1:3" x14ac:dyDescent="0.3">
      <c r="A162" s="18" t="s">
        <v>362</v>
      </c>
      <c r="B162" s="18">
        <v>0.75</v>
      </c>
      <c r="C162" s="18" t="s">
        <v>230</v>
      </c>
    </row>
    <row r="163" spans="1:3" x14ac:dyDescent="0.3">
      <c r="A163" s="18" t="s">
        <v>363</v>
      </c>
      <c r="B163" s="18">
        <v>0.75</v>
      </c>
      <c r="C163" s="18" t="s">
        <v>230</v>
      </c>
    </row>
    <row r="164" spans="1:3" x14ac:dyDescent="0.3">
      <c r="A164" s="18" t="s">
        <v>364</v>
      </c>
      <c r="B164" s="18">
        <v>0.6</v>
      </c>
      <c r="C164" s="18" t="s">
        <v>230</v>
      </c>
    </row>
    <row r="165" spans="1:3" x14ac:dyDescent="0.3">
      <c r="A165" s="18" t="s">
        <v>365</v>
      </c>
      <c r="B165" s="18">
        <v>0.3</v>
      </c>
      <c r="C165" s="18" t="s">
        <v>217</v>
      </c>
    </row>
    <row r="166" spans="1:3" x14ac:dyDescent="0.3">
      <c r="A166" s="18" t="s">
        <v>366</v>
      </c>
      <c r="B166" s="18">
        <v>0.3</v>
      </c>
      <c r="C166" s="18" t="s">
        <v>217</v>
      </c>
    </row>
    <row r="167" spans="1:3" x14ac:dyDescent="0.3">
      <c r="A167" s="18" t="s">
        <v>367</v>
      </c>
      <c r="B167" s="18">
        <v>0.2</v>
      </c>
      <c r="C167" s="18" t="s">
        <v>217</v>
      </c>
    </row>
    <row r="169" spans="1:3" x14ac:dyDescent="0.3">
      <c r="A169" s="27" t="s">
        <v>34</v>
      </c>
    </row>
    <row r="170" spans="1:3" x14ac:dyDescent="0.3">
      <c r="A170" s="10" t="s">
        <v>81</v>
      </c>
      <c r="B170" s="10" t="s">
        <v>302</v>
      </c>
      <c r="C170" s="10" t="s">
        <v>289</v>
      </c>
    </row>
    <row r="171" spans="1:3" x14ac:dyDescent="0.3">
      <c r="A171" s="18" t="s">
        <v>35</v>
      </c>
      <c r="B171" s="18" t="s">
        <v>368</v>
      </c>
      <c r="C171" s="18">
        <v>1.25</v>
      </c>
    </row>
    <row r="172" spans="1:3" x14ac:dyDescent="0.3">
      <c r="A172" s="18" t="s">
        <v>37</v>
      </c>
      <c r="B172" s="18" t="s">
        <v>369</v>
      </c>
      <c r="C172" s="18">
        <v>1</v>
      </c>
    </row>
    <row r="173" spans="1:3" x14ac:dyDescent="0.3">
      <c r="A173" s="18" t="s">
        <v>39</v>
      </c>
      <c r="B173" s="18" t="s">
        <v>256</v>
      </c>
      <c r="C173" s="18">
        <v>0.6</v>
      </c>
    </row>
    <row r="174" spans="1:3" x14ac:dyDescent="0.3">
      <c r="A174" s="18" t="s">
        <v>370</v>
      </c>
      <c r="B174" s="18" t="s">
        <v>371</v>
      </c>
      <c r="C174" s="18">
        <v>0</v>
      </c>
    </row>
    <row r="176" spans="1:3" x14ac:dyDescent="0.3">
      <c r="A176" s="27" t="s">
        <v>372</v>
      </c>
    </row>
    <row r="177" spans="1:4" ht="39.6" x14ac:dyDescent="0.3">
      <c r="A177" s="10" t="s">
        <v>83</v>
      </c>
      <c r="B177" s="10" t="s">
        <v>302</v>
      </c>
      <c r="C177" s="10" t="s">
        <v>289</v>
      </c>
      <c r="D177" s="10" t="s">
        <v>373</v>
      </c>
    </row>
    <row r="178" spans="1:4" x14ac:dyDescent="0.3">
      <c r="A178" s="18" t="s">
        <v>374</v>
      </c>
      <c r="B178" s="18" t="s">
        <v>375</v>
      </c>
      <c r="C178" s="18">
        <v>1</v>
      </c>
      <c r="D178" s="18" t="s">
        <v>217</v>
      </c>
    </row>
    <row r="179" spans="1:4" x14ac:dyDescent="0.3">
      <c r="A179" s="18" t="s">
        <v>376</v>
      </c>
      <c r="B179" s="18" t="s">
        <v>377</v>
      </c>
      <c r="C179" s="18">
        <v>0.5</v>
      </c>
      <c r="D179" s="18" t="s">
        <v>217</v>
      </c>
    </row>
    <row r="180" spans="1:4" x14ac:dyDescent="0.3">
      <c r="A180" s="18" t="s">
        <v>378</v>
      </c>
      <c r="B180" s="18" t="s">
        <v>258</v>
      </c>
      <c r="C180" s="18">
        <v>0.4</v>
      </c>
      <c r="D180" s="18" t="s">
        <v>230</v>
      </c>
    </row>
  </sheetData>
  <sheetProtection sheet="1" formatColumns="0" formatRows="0"/>
  <dataValidations count="8">
    <dataValidation type="list" allowBlank="1" showErrorMessage="1" errorTitle="Choose from the list" error="Pick one of the listed values." sqref="B13 B44 B37:B40 B30 B24" xr:uid="{00000000-0002-0000-0800-000000000000}">
      <formula1>L_yesno</formula1>
    </dataValidation>
    <dataValidation type="list" allowBlank="1" showErrorMessage="1" errorTitle="Choose from the list" error="Pick one of the listed values." sqref="B15" xr:uid="{00000000-0002-0000-0800-000001000000}">
      <formula1>"total,breadth,total_or_distinction,breadth_or_distinction"</formula1>
    </dataValidation>
    <dataValidation type="list" allowBlank="1" showErrorMessage="1" errorTitle="Choose from the list" error="Pick one of the listed values." sqref="B32" xr:uid="{00000000-0002-0000-0800-000004000000}">
      <formula1>"waive_below_threshold,documented_activity"</formula1>
    </dataValidation>
    <dataValidation type="list" allowBlank="1" showErrorMessage="1" errorTitle="Choose from the list" error="Pick one of the listed values." sqref="B33" xr:uid="{00000000-0002-0000-0800-000005000000}">
      <formula1>"0,1,2,3"</formula1>
    </dataValidation>
    <dataValidation type="list" allowBlank="1" showErrorMessage="1" errorTitle="Choose from the list" error="Pick one of the listed values." sqref="B34" xr:uid="{00000000-0002-0000-0800-000006000000}">
      <formula1>"current_year,standard_prior_years"</formula1>
    </dataValidation>
    <dataValidation type="list" allowBlank="1" showErrorMessage="1" errorTitle="Choose from the list" error="Pick one of the listed values." sqref="B45" xr:uid="{00000000-0002-0000-0800-00000C000000}">
      <formula1>"A,B,C"</formula1>
    </dataValidation>
    <dataValidation type="list" allowBlank="1" showErrorMessage="1" errorTitle="Choose from the list" error="Pick one of the listed values." sqref="B46" xr:uid="{00000000-0002-0000-0800-00000D000000}">
      <formula1>"presenter,mentor,coauthor"</formula1>
    </dataValidation>
    <dataValidation type="list" allowBlank="1" showErrorMessage="1" errorTitle="Choose from the list" error="Pick one of the listed values." sqref="B47" xr:uid="{00000000-0002-0000-0800-00000E000000}">
      <formula1>"lead,coauthor"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2"/>
  <sheetViews>
    <sheetView workbookViewId="0"/>
  </sheetViews>
  <sheetFormatPr defaultRowHeight="14.4" x14ac:dyDescent="0.3"/>
  <cols>
    <col min="1" max="1" width="64" customWidth="1"/>
    <col min="2" max="3" width="22" customWidth="1"/>
  </cols>
  <sheetData>
    <row r="1" spans="1:3" ht="21" x14ac:dyDescent="0.3">
      <c r="A1" s="1" t="s">
        <v>379</v>
      </c>
    </row>
    <row r="2" spans="1:3" x14ac:dyDescent="0.3">
      <c r="A2" s="2" t="s">
        <v>380</v>
      </c>
    </row>
    <row r="3" spans="1:3" x14ac:dyDescent="0.3">
      <c r="A3" s="27" t="s">
        <v>381</v>
      </c>
      <c r="B3" s="27" t="s">
        <v>209</v>
      </c>
      <c r="C3" s="27" t="s">
        <v>382</v>
      </c>
    </row>
    <row r="4" spans="1:3" x14ac:dyDescent="0.3">
      <c r="A4" s="28" t="s">
        <v>383</v>
      </c>
    </row>
    <row r="5" spans="1:3" x14ac:dyDescent="0.3">
      <c r="A5" s="5" t="s">
        <v>384</v>
      </c>
      <c r="B5" s="12">
        <f>SUMPRODUCT(--(Settings!$B$7:$H$182&lt;&gt;Defaults!$B$7:$H$182))</f>
        <v>0</v>
      </c>
      <c r="C5" s="2" t="s">
        <v>385</v>
      </c>
    </row>
    <row r="6" spans="1:3" x14ac:dyDescent="0.3">
      <c r="A6" s="5" t="s">
        <v>386</v>
      </c>
      <c r="B6" s="12">
        <f>COUNTIF(PUB_problem,"?*")+COUNTIF(GRA_problem,"?*")+COUNTIF(PRE_problem,"?*")</f>
        <v>0</v>
      </c>
      <c r="C6" s="2" t="s">
        <v>387</v>
      </c>
    </row>
    <row r="7" spans="1:3" x14ac:dyDescent="0.3">
      <c r="A7" s="5" t="s">
        <v>388</v>
      </c>
      <c r="B7" s="12">
        <f>IF(f_effort="",s_standard_research_effort,f_effort)</f>
        <v>40</v>
      </c>
      <c r="C7" s="2" t="s">
        <v>389</v>
      </c>
    </row>
    <row r="8" spans="1:3" x14ac:dyDescent="0.3">
      <c r="A8" s="5" t="s">
        <v>190</v>
      </c>
      <c r="B8" s="12">
        <f>IF(f_months="",12,f_months)</f>
        <v>12</v>
      </c>
      <c r="C8" s="2" t="s">
        <v>390</v>
      </c>
    </row>
    <row r="9" spans="1:3" x14ac:dyDescent="0.3">
      <c r="A9" s="5" t="s">
        <v>391</v>
      </c>
      <c r="B9" s="12">
        <f>IF(f_first_year="Yes",1,0)</f>
        <v>0</v>
      </c>
      <c r="C9" s="2" t="s">
        <v>392</v>
      </c>
    </row>
    <row r="10" spans="1:3" x14ac:dyDescent="0.3">
      <c r="A10" s="5" t="s">
        <v>393</v>
      </c>
      <c r="B10" s="12">
        <f>IF(AND(s_evaluate_zero_assignment="No",OR(c_effort=0,c_months=0)),1,0)</f>
        <v>0</v>
      </c>
      <c r="C10" s="2" t="s">
        <v>394</v>
      </c>
    </row>
    <row r="11" spans="1:3" x14ac:dyDescent="0.3">
      <c r="A11" s="5" t="s">
        <v>395</v>
      </c>
      <c r="B11" s="12">
        <f>MAX(s_factor_min,MIN(s_factor_max,(c_effort/s_standard_research_effort)*(c_months/12)))</f>
        <v>1</v>
      </c>
      <c r="C11" s="2" t="s">
        <v>396</v>
      </c>
    </row>
    <row r="12" spans="1:3" x14ac:dyDescent="0.3">
      <c r="A12" s="5" t="s">
        <v>397</v>
      </c>
      <c r="B12" s="12">
        <f>MAX(c_factor,0.5)</f>
        <v>1</v>
      </c>
      <c r="C12" s="2" t="s">
        <v>398</v>
      </c>
    </row>
    <row r="13" spans="1:3" x14ac:dyDescent="0.3">
      <c r="A13" s="5" t="s">
        <v>399</v>
      </c>
      <c r="B13" s="12">
        <f>MAX(1,INT(s_pub_min_count*c_factor*IF(c_first=1,0.5,1)+0.5))</f>
        <v>2</v>
      </c>
      <c r="C13" s="2" t="s">
        <v>400</v>
      </c>
    </row>
    <row r="14" spans="1:3" x14ac:dyDescent="0.3">
      <c r="A14" s="5" t="s">
        <v>401</v>
      </c>
      <c r="B14" s="12">
        <f>s_benchmark_units_P*c_bcount/s_pub_min_count</f>
        <v>2</v>
      </c>
      <c r="C14" s="2" t="s">
        <v>402</v>
      </c>
    </row>
    <row r="15" spans="1:3" x14ac:dyDescent="0.3">
      <c r="A15" s="5" t="s">
        <v>403</v>
      </c>
      <c r="B15" s="12">
        <f>N(o_pid)</f>
        <v>0</v>
      </c>
      <c r="C15" s="2" t="s">
        <v>404</v>
      </c>
    </row>
    <row r="16" spans="1:3" x14ac:dyDescent="0.3">
      <c r="A16" s="5" t="s">
        <v>405</v>
      </c>
      <c r="B16" s="12">
        <f>IF(s_reduced_assignment_rule="documented_activity",1,0)</f>
        <v>1</v>
      </c>
      <c r="C16" s="2" t="s">
        <v>406</v>
      </c>
    </row>
    <row r="17" spans="1:3" x14ac:dyDescent="0.3">
      <c r="A17" s="5" t="s">
        <v>407</v>
      </c>
      <c r="B17" s="12">
        <f>IF(c_factor&lt;=s_reduced_assignment_factor,1,0)</f>
        <v>0</v>
      </c>
      <c r="C17" s="2" t="s">
        <v>408</v>
      </c>
    </row>
    <row r="18" spans="1:3" x14ac:dyDescent="0.3">
      <c r="A18" s="5" t="s">
        <v>409</v>
      </c>
      <c r="B18" s="12">
        <f>IF(AND(c_documented=0,c_factor&lt;s_reduced_assignment_factor),1,0)</f>
        <v>0</v>
      </c>
      <c r="C18" s="2" t="s">
        <v>410</v>
      </c>
    </row>
    <row r="19" spans="1:3" x14ac:dyDescent="0.3">
      <c r="A19" s="28" t="s">
        <v>171</v>
      </c>
    </row>
    <row r="20" spans="1:3" x14ac:dyDescent="0.3">
      <c r="A20" s="5" t="s">
        <v>411</v>
      </c>
      <c r="B20" s="12">
        <f>SUM(PUB_count)</f>
        <v>0</v>
      </c>
      <c r="C20" s="2" t="s">
        <v>412</v>
      </c>
    </row>
    <row r="21" spans="1:3" x14ac:dyDescent="0.3">
      <c r="A21" s="5" t="s">
        <v>413</v>
      </c>
      <c r="B21" s="12">
        <f>IF(s_chapter_cap="",SUM(PUB_chapter),MIN(SUM(PUB_chapter),s_chapter_cap))</f>
        <v>0</v>
      </c>
      <c r="C21" s="2" t="s">
        <v>414</v>
      </c>
    </row>
    <row r="22" spans="1:3" x14ac:dyDescent="0.3">
      <c r="A22" s="5" t="s">
        <v>415</v>
      </c>
      <c r="B22" s="12">
        <f>SUM(PUB_main)+c_pub_chapters+MIN(SUM(PUB_other),s_other_output_cap)+MIN(SUM(OT_editorial),s_editorial_cap)+MIN(SUM(PUB_impact),s_impact_cap)</f>
        <v>0</v>
      </c>
      <c r="C22" s="2" t="s">
        <v>416</v>
      </c>
    </row>
    <row r="23" spans="1:3" x14ac:dyDescent="0.3">
      <c r="A23" s="5" t="s">
        <v>417</v>
      </c>
      <c r="B23" s="12">
        <f>IF(c_pub_count&gt;=c_bcount,1,0)</f>
        <v>0</v>
      </c>
      <c r="C23" s="2" t="s">
        <v>418</v>
      </c>
    </row>
    <row r="24" spans="1:3" x14ac:dyDescent="0.3">
      <c r="A24" s="5" t="s">
        <v>419</v>
      </c>
      <c r="B24" s="12">
        <f>IF(s_rolling_benchmark="current_year",3*c_bcount,c_bcount+2*s_pub_min_count)</f>
        <v>6</v>
      </c>
      <c r="C24" s="2" t="s">
        <v>420</v>
      </c>
    </row>
    <row r="25" spans="1:3" x14ac:dyDescent="0.3">
      <c r="A25" s="5" t="s">
        <v>421</v>
      </c>
      <c r="B25" s="12">
        <f>IF(AND(c_pub_annual=0,ISNUMBER(o_pubs_prior2),s_rolling_max_domains&gt;0,c_pub_count+N(o_pubs_prior2)&gt;=c_pub_need,N(o_manuscripts)&gt;=1),1,0)</f>
        <v>0</v>
      </c>
      <c r="C25" s="2" t="s">
        <v>422</v>
      </c>
    </row>
    <row r="26" spans="1:3" x14ac:dyDescent="0.3">
      <c r="A26" s="5" t="s">
        <v>423</v>
      </c>
      <c r="B26" s="12">
        <f>s_rolling_max_domains-c_pub_roll</f>
        <v>1</v>
      </c>
      <c r="C26" s="2" t="s">
        <v>424</v>
      </c>
    </row>
    <row r="27" spans="1:3" x14ac:dyDescent="0.3">
      <c r="A27" s="5" t="s">
        <v>425</v>
      </c>
      <c r="B27" s="12">
        <f>IF(OR(c_pub_annual=1,c_pub_roll=1),1,0)</f>
        <v>0</v>
      </c>
      <c r="C27" s="2" t="s">
        <v>426</v>
      </c>
    </row>
    <row r="28" spans="1:3" x14ac:dyDescent="0.3">
      <c r="A28" s="5" t="s">
        <v>427</v>
      </c>
      <c r="B28" s="12">
        <f>IF(c_gP=1,1,MIN(1,c_pub_count/c_bcount))</f>
        <v>0</v>
      </c>
      <c r="C28" s="2" t="s">
        <v>428</v>
      </c>
    </row>
    <row r="29" spans="1:3" x14ac:dyDescent="0.3">
      <c r="A29" s="5" t="s">
        <v>429</v>
      </c>
      <c r="B29" s="12">
        <f>s_anchor_share*s_weights_P*c_fracP+(1-s_anchor_share)*s_weights_P*MIN(1,MAX(0,c_pub_units-c_bunits)/(s_saturation_P*c_sat_scale))</f>
        <v>0</v>
      </c>
      <c r="C29" s="2" t="s">
        <v>430</v>
      </c>
    </row>
    <row r="30" spans="1:3" x14ac:dyDescent="0.3">
      <c r="A30" s="28" t="s">
        <v>100</v>
      </c>
    </row>
    <row r="31" spans="1:3" x14ac:dyDescent="0.3">
      <c r="A31" s="5" t="s">
        <v>431</v>
      </c>
      <c r="B31" s="12">
        <f>MIN(SUM(OT_review),s_grant_review_cap)</f>
        <v>0</v>
      </c>
      <c r="C31" s="2" t="s">
        <v>432</v>
      </c>
    </row>
    <row r="32" spans="1:3" x14ac:dyDescent="0.3">
      <c r="A32" s="5" t="s">
        <v>433</v>
      </c>
      <c r="B32" s="12">
        <f>SUM(GRA_awardunits)+MIN(SUM(GRA_subunits),s_submission_cap)+MIN(s_implementation_units*SUM(GRA_active),s_implementation_cap)+c_g_review+MIN(s_development_units*(c_pid+N(o_unfunded)),s_development_cap)</f>
        <v>0</v>
      </c>
      <c r="C32" s="2" t="s">
        <v>434</v>
      </c>
    </row>
    <row r="33" spans="1:3" x14ac:dyDescent="0.3">
      <c r="A33" s="5" t="s">
        <v>435</v>
      </c>
      <c r="B33" s="12">
        <f>IF(SUM(GRA_meets)+SUM(GRA_awardgate)+SUM(GRA_active)&gt;0,1,0)</f>
        <v>0</v>
      </c>
      <c r="C33" s="2" t="s">
        <v>436</v>
      </c>
    </row>
    <row r="34" spans="1:3" x14ac:dyDescent="0.3">
      <c r="A34" s="5" t="s">
        <v>437</v>
      </c>
      <c r="B34" s="12">
        <f>IF(AND(c_g_raw=0,OR(SUM(GRA_subpartial)+SUM(GRA_awardpartial)&gt;0,c_pid&gt;0,c_g_review&gt;0)),1,0)</f>
        <v>0</v>
      </c>
      <c r="C34" s="2" t="s">
        <v>438</v>
      </c>
    </row>
    <row r="35" spans="1:3" x14ac:dyDescent="0.3">
      <c r="A35" s="5" t="s">
        <v>439</v>
      </c>
      <c r="B35" s="12">
        <f>IF(AND(c_first=1,c_g_raw=0,c_pid&gt;0),1,0)</f>
        <v>0</v>
      </c>
      <c r="C35" s="2" t="s">
        <v>440</v>
      </c>
    </row>
    <row r="36" spans="1:3" x14ac:dyDescent="0.3">
      <c r="A36" s="5" t="s">
        <v>441</v>
      </c>
      <c r="B36" s="12">
        <f>IF(OR(c_g_raw=1,c_waived=1,AND(c_reduced=1,c_g_partial=1),c_g_first=1),1,0)</f>
        <v>0</v>
      </c>
      <c r="C36" s="2" t="s">
        <v>442</v>
      </c>
    </row>
    <row r="37" spans="1:3" x14ac:dyDescent="0.3">
      <c r="A37" s="5" t="s">
        <v>421</v>
      </c>
      <c r="B37" s="12">
        <f>IF(AND(c_g4=0,ISNUMBER(o_grant_prior2),c_left1&gt;0,N(o_grant_prior2)&gt;=2,c_pid&gt;=1),1,0)</f>
        <v>0</v>
      </c>
      <c r="C37" s="2" t="s">
        <v>443</v>
      </c>
    </row>
    <row r="38" spans="1:3" x14ac:dyDescent="0.3">
      <c r="A38" s="5" t="s">
        <v>444</v>
      </c>
      <c r="B38" s="12">
        <f>c_left1-c_g_roll</f>
        <v>1</v>
      </c>
      <c r="C38" s="2" t="s">
        <v>445</v>
      </c>
    </row>
    <row r="39" spans="1:3" x14ac:dyDescent="0.3">
      <c r="A39" s="5" t="s">
        <v>446</v>
      </c>
      <c r="B39" s="12">
        <f>IF(OR(c_g4=1,c_g_roll=1),1,0)</f>
        <v>0</v>
      </c>
      <c r="C39" s="2" t="s">
        <v>447</v>
      </c>
    </row>
    <row r="40" spans="1:3" x14ac:dyDescent="0.3">
      <c r="A40" s="5" t="s">
        <v>448</v>
      </c>
      <c r="B40" s="12">
        <f>IF(c_gG=1,1,IF(c_g_partial=1,0.5,0))</f>
        <v>0</v>
      </c>
      <c r="C40" s="2" t="s">
        <v>449</v>
      </c>
    </row>
    <row r="41" spans="1:3" x14ac:dyDescent="0.3">
      <c r="A41" s="5" t="s">
        <v>450</v>
      </c>
      <c r="B41" s="12">
        <f>s_anchor_share*s_weights_G*c_fracG+(1-s_anchor_share)*s_weights_G*MIN(1,MAX(0,c_g_units-s_benchmark_units_G)/(s_saturation_G*c_sat_scale))</f>
        <v>0</v>
      </c>
      <c r="C41" s="2" t="s">
        <v>451</v>
      </c>
    </row>
    <row r="42" spans="1:3" x14ac:dyDescent="0.3">
      <c r="A42" s="5" t="s">
        <v>452</v>
      </c>
      <c r="B42" s="12">
        <f>IF(SUM(GRA_distinct)&gt;0,1,0)</f>
        <v>0</v>
      </c>
      <c r="C42" s="2" t="s">
        <v>453</v>
      </c>
    </row>
    <row r="43" spans="1:3" x14ac:dyDescent="0.3">
      <c r="A43" s="28" t="s">
        <v>172</v>
      </c>
    </row>
    <row r="44" spans="1:3" x14ac:dyDescent="0.3">
      <c r="A44" s="5" t="s">
        <v>454</v>
      </c>
      <c r="B44" s="12">
        <f>SUM(PRE_units)+MIN(SUM(PRE_localunits),s_local_cap)+MIN(s_chair_units*N(o_chaired),s_chair_cap)</f>
        <v>0</v>
      </c>
      <c r="C44" s="2" t="s">
        <v>455</v>
      </c>
    </row>
    <row r="45" spans="1:3" x14ac:dyDescent="0.3">
      <c r="A45" s="5" t="s">
        <v>456</v>
      </c>
      <c r="B45" s="12">
        <f>IF(SUM(PRE_gate)&gt;0,1,0)</f>
        <v>0</v>
      </c>
      <c r="C45" s="2" t="s">
        <v>457</v>
      </c>
    </row>
    <row r="46" spans="1:3" x14ac:dyDescent="0.3">
      <c r="A46" s="5" t="s">
        <v>458</v>
      </c>
      <c r="B46" s="12">
        <f>IF(AND(c_r_raw=0,SUM(PRE_partial)&gt;0),1,0)</f>
        <v>0</v>
      </c>
      <c r="C46" s="2" t="s">
        <v>459</v>
      </c>
    </row>
    <row r="47" spans="1:3" x14ac:dyDescent="0.3">
      <c r="A47" s="5" t="s">
        <v>441</v>
      </c>
      <c r="B47" s="12">
        <f>IF(OR(c_r_raw=1,c_waived=1,AND(c_documented=1,c_reduced=1,c_r_partial=1)),1,0)</f>
        <v>0</v>
      </c>
      <c r="C47" s="2" t="s">
        <v>460</v>
      </c>
    </row>
    <row r="48" spans="1:3" x14ac:dyDescent="0.3">
      <c r="A48" s="5" t="s">
        <v>421</v>
      </c>
      <c r="B48" s="12">
        <f>IF(AND(c_r2=0,ISNUMBER(o_pres_prior2),c_left2&gt;0,N(o_pres_prior2)&gt;=2,N(o_abstracts)&gt;=1),1,0)</f>
        <v>0</v>
      </c>
      <c r="C48" s="2" t="s">
        <v>461</v>
      </c>
    </row>
    <row r="49" spans="1:3" x14ac:dyDescent="0.3">
      <c r="A49" s="5" t="s">
        <v>462</v>
      </c>
      <c r="B49" s="12">
        <f>IF(OR(c_r2=1,c_r_roll=1),1,0)</f>
        <v>0</v>
      </c>
      <c r="C49" s="2" t="s">
        <v>463</v>
      </c>
    </row>
    <row r="50" spans="1:3" x14ac:dyDescent="0.3">
      <c r="A50" s="5" t="s">
        <v>464</v>
      </c>
      <c r="B50" s="12">
        <f>IF(c_gR=1,1,IF(c_r_partial=1,0.5,0))</f>
        <v>0</v>
      </c>
      <c r="C50" s="2" t="s">
        <v>465</v>
      </c>
    </row>
    <row r="51" spans="1:3" x14ac:dyDescent="0.3">
      <c r="A51" s="5" t="s">
        <v>466</v>
      </c>
      <c r="B51" s="12">
        <f>s_anchor_share*s_weights_R*c_fracR+(1-s_anchor_share)*s_weights_R*MIN(1,MAX(0,c_r_units-s_benchmark_units_R)/(s_saturation_R*c_sat_scale))</f>
        <v>0</v>
      </c>
      <c r="C51" s="2" t="s">
        <v>467</v>
      </c>
    </row>
    <row r="52" spans="1:3" x14ac:dyDescent="0.3">
      <c r="A52" s="28" t="s">
        <v>468</v>
      </c>
    </row>
    <row r="53" spans="1:3" x14ac:dyDescent="0.3">
      <c r="A53" s="5" t="s">
        <v>173</v>
      </c>
      <c r="B53" s="12">
        <f>ROUND(ROUND(c_rawP+c_rawG+c_rawR,9),1)</f>
        <v>0</v>
      </c>
      <c r="C53" s="2" t="s">
        <v>469</v>
      </c>
    </row>
    <row r="54" spans="1:3" x14ac:dyDescent="0.3">
      <c r="A54" s="5" t="s">
        <v>470</v>
      </c>
      <c r="B54" s="12">
        <f>ROUND(ROUND(c_rawP,9),1)</f>
        <v>0</v>
      </c>
      <c r="C54" s="2" t="s">
        <v>471</v>
      </c>
    </row>
    <row r="55" spans="1:3" x14ac:dyDescent="0.3">
      <c r="A55" s="5" t="s">
        <v>472</v>
      </c>
      <c r="B55" s="12">
        <f>ROUND(ROUND(c_rawG,9),1)</f>
        <v>0</v>
      </c>
      <c r="C55" s="2" t="s">
        <v>473</v>
      </c>
    </row>
    <row r="56" spans="1:3" x14ac:dyDescent="0.3">
      <c r="A56" s="5" t="s">
        <v>474</v>
      </c>
      <c r="B56" s="12">
        <f>ROUND(ROUND(c_rawR,9),1)</f>
        <v>0</v>
      </c>
      <c r="C56" s="2" t="s">
        <v>475</v>
      </c>
    </row>
    <row r="57" spans="1:3" x14ac:dyDescent="0.3">
      <c r="A57" s="5" t="s">
        <v>476</v>
      </c>
      <c r="B57" s="12">
        <f>IF(s_total_from_rounded_parts="Yes",ROUND((c_total-(c_ownP+c_ownG+c_ownR))*10,0),0)</f>
        <v>0</v>
      </c>
      <c r="C57" s="2" t="s">
        <v>477</v>
      </c>
    </row>
    <row r="58" spans="1:3" x14ac:dyDescent="0.3">
      <c r="A58" s="5" t="s">
        <v>478</v>
      </c>
      <c r="B58" s="12">
        <f>(c_rawP-c_ownP)*SIGN(c_gap)</f>
        <v>0</v>
      </c>
      <c r="C58" s="2" t="s">
        <v>479</v>
      </c>
    </row>
    <row r="59" spans="1:3" x14ac:dyDescent="0.3">
      <c r="A59" s="5" t="s">
        <v>480</v>
      </c>
      <c r="B59" s="12">
        <f>(c_rawG-c_ownG)*SIGN(c_gap)</f>
        <v>0</v>
      </c>
      <c r="C59" s="2" t="s">
        <v>481</v>
      </c>
    </row>
    <row r="60" spans="1:3" x14ac:dyDescent="0.3">
      <c r="A60" s="5" t="s">
        <v>482</v>
      </c>
      <c r="B60" s="12">
        <f>(c_rawR-c_ownR)*SIGN(c_gap)</f>
        <v>0</v>
      </c>
      <c r="C60" s="2" t="s">
        <v>483</v>
      </c>
    </row>
    <row r="61" spans="1:3" x14ac:dyDescent="0.3">
      <c r="A61" s="5" t="s">
        <v>484</v>
      </c>
      <c r="B61" s="12">
        <f>ROUND(c_ownP+IF(AND(c_gap&lt;&gt;0,c_errP&gt;=c_errG,c_errP&gt;=c_errR),0.1*SIGN(c_gap),0),1)</f>
        <v>0</v>
      </c>
      <c r="C61" s="2" t="s">
        <v>485</v>
      </c>
    </row>
    <row r="62" spans="1:3" x14ac:dyDescent="0.3">
      <c r="A62" s="5" t="s">
        <v>486</v>
      </c>
      <c r="B62" s="12">
        <f>ROUND(c_ownG+IF(AND(c_gap&lt;&gt;0,NOT(AND(c_errP&gt;=c_errG,c_errP&gt;=c_errR)),c_errG&gt;=c_errR),0.1*SIGN(c_gap),0),1)</f>
        <v>0</v>
      </c>
      <c r="C62" s="2" t="s">
        <v>487</v>
      </c>
    </row>
    <row r="63" spans="1:3" x14ac:dyDescent="0.3">
      <c r="A63" s="5" t="s">
        <v>488</v>
      </c>
      <c r="B63" s="12">
        <f>ROUND(c_ownR+IF(AND(c_gap&lt;&gt;0,NOT(AND(c_errP&gt;=c_errG,c_errP&gt;=c_errR)),NOT(c_errG&gt;=c_errR)),0.1*SIGN(c_gap),0),1)</f>
        <v>0</v>
      </c>
      <c r="C63" s="2" t="s">
        <v>489</v>
      </c>
    </row>
    <row r="64" spans="1:3" x14ac:dyDescent="0.3">
      <c r="A64" s="5" t="s">
        <v>490</v>
      </c>
      <c r="B64" s="12">
        <f>IF(s_weights_P=0,0,c_rawP/s_weights_P)</f>
        <v>0</v>
      </c>
      <c r="C64" s="2" t="s">
        <v>491</v>
      </c>
    </row>
    <row r="65" spans="1:3" x14ac:dyDescent="0.3">
      <c r="A65" s="5" t="s">
        <v>492</v>
      </c>
      <c r="B65" s="12">
        <f>IF(s_weights_G=0,0,c_rawG/s_weights_G)</f>
        <v>0</v>
      </c>
      <c r="C65" s="2" t="s">
        <v>493</v>
      </c>
    </row>
    <row r="66" spans="1:3" x14ac:dyDescent="0.3">
      <c r="A66" s="5" t="s">
        <v>494</v>
      </c>
      <c r="B66" s="12">
        <f>IF(s_weights_R=0,0,c_rawR/s_weights_R)</f>
        <v>0</v>
      </c>
      <c r="C66" s="2" t="s">
        <v>495</v>
      </c>
    </row>
    <row r="67" spans="1:3" x14ac:dyDescent="0.3">
      <c r="A67" s="28" t="s">
        <v>496</v>
      </c>
    </row>
    <row r="68" spans="1:3" x14ac:dyDescent="0.3">
      <c r="A68" s="5" t="s">
        <v>497</v>
      </c>
      <c r="B68" s="12">
        <f>3-c_gP-c_gG-c_gR</f>
        <v>3</v>
      </c>
      <c r="C68" s="2" t="s">
        <v>498</v>
      </c>
    </row>
    <row r="69" spans="1:3" x14ac:dyDescent="0.3">
      <c r="A69" s="5" t="s">
        <v>499</v>
      </c>
      <c r="B69" s="12">
        <f>IF(c_total&gt;=s_exceeds_threshold,1,0)</f>
        <v>0</v>
      </c>
      <c r="C69" s="2" t="s">
        <v>500</v>
      </c>
    </row>
    <row r="70" spans="1:3" x14ac:dyDescent="0.3">
      <c r="A70" s="5" t="s">
        <v>501</v>
      </c>
      <c r="B70" s="12">
        <f>IF((c_shareP&gt;=s_breadth_level)+(c_shareG&gt;=s_breadth_level)+(c_shareR&gt;=s_breadth_level)&gt;=2,1,0)</f>
        <v>0</v>
      </c>
      <c r="C70" s="2" t="s">
        <v>502</v>
      </c>
    </row>
    <row r="71" spans="1:3" x14ac:dyDescent="0.3">
      <c r="A71" s="5" t="s">
        <v>503</v>
      </c>
      <c r="B71" s="12">
        <f>IF(OR(s_exceeds_rule="breadth",s_exceeds_rule="breadth_or_distinction"),1,0)</f>
        <v>1</v>
      </c>
      <c r="C71" s="2" t="s">
        <v>504</v>
      </c>
    </row>
    <row r="72" spans="1:3" x14ac:dyDescent="0.3">
      <c r="A72" s="5" t="s">
        <v>505</v>
      </c>
      <c r="B72" s="12">
        <f>IF(AND(c_by_total=1,OR(c_broad=1,c_needs_breadth=0)),1,0)</f>
        <v>0</v>
      </c>
      <c r="C72" s="2" t="s">
        <v>506</v>
      </c>
    </row>
    <row r="73" spans="1:3" x14ac:dyDescent="0.3">
      <c r="A73" s="5" t="s">
        <v>507</v>
      </c>
      <c r="B73" s="12">
        <f>IF(AND(c_distinct=1,c_total&gt;=s_distinction_min_total,OR(s_exceeds_rule="total_or_distinction",s_exceeds_rule="breadth_or_distinction")),1,0)</f>
        <v>0</v>
      </c>
      <c r="C73" s="2" t="s">
        <v>508</v>
      </c>
    </row>
    <row r="74" spans="1:3" x14ac:dyDescent="0.3">
      <c r="A74" s="5" t="s">
        <v>509</v>
      </c>
      <c r="B74" s="12">
        <f>IF(AND(f_name&amp;f_id="",SUM(PUB_used)+SUM(GRA_used)+SUM(PRE_used)+SUM(OT_editorial)+SUM(OT_review)=0,N(o_chaired)+N(o_pid)+N(o_unfunded)+N(o_manuscripts)+N(o_abstracts)=0,COUNT(o_pubs_prior2,o_grant_prior2,o_pres_prior2)=0),1,0)</f>
        <v>1</v>
      </c>
      <c r="C74" s="2" t="s">
        <v>510</v>
      </c>
    </row>
    <row r="75" spans="1:3" x14ac:dyDescent="0.3">
      <c r="A75" s="5" t="s">
        <v>511</v>
      </c>
      <c r="B75" s="12" t="str">
        <f>IF(c_problems&gt;0,"incomplete",IF(c_empty=1,"empty",IF(c_not_evaluated=1,"not_evaluated",IF(c_unmet&gt;0,"minimum_unmet",IF(AND(s_enforce_meets_threshold="Yes",c_total&lt;s_meets_threshold),"below_meets_threshold",IF(c_on_score=1,"exceeds_on_score",IF(c_on_award=1,"exceeds_on_award",IF(AND(c_by_total=1,c_needs_breadth=1),"meets_lacks_breadth","meets"))))))))</f>
        <v>empty</v>
      </c>
      <c r="C75" s="2" t="s">
        <v>512</v>
      </c>
    </row>
    <row r="76" spans="1:3" x14ac:dyDescent="0.3">
      <c r="A76" s="5" t="s">
        <v>164</v>
      </c>
      <c r="B76" s="12" t="str">
        <f>IF(c_basis="incomplete","Incomplete: complete the rows marked on the entry sheets",IF(c_basis="empty","Nothing entered yet",IF(c_basis="not_evaluated","Not Evaluated",IF(OR(c_basis="minimum_unmet",c_basis="below_meets_threshold"),"Does Not Meet Expectations",IF(LEFT(c_basis,7)="exceeds","Exceeds Expectations","Meets Expectations")))))</f>
        <v>Nothing entered yet</v>
      </c>
      <c r="C76" s="2" t="s">
        <v>513</v>
      </c>
    </row>
    <row r="77" spans="1:3" x14ac:dyDescent="0.3">
      <c r="A77" s="5" t="s">
        <v>514</v>
      </c>
      <c r="B77" s="12">
        <f>IF(OR(c_basis="incomplete",c_basis="empty",c_basis="not_evaluated"),0,1)</f>
        <v>0</v>
      </c>
      <c r="C77" s="2" t="s">
        <v>515</v>
      </c>
    </row>
    <row r="78" spans="1:3" x14ac:dyDescent="0.3">
      <c r="A78" s="5" t="s">
        <v>516</v>
      </c>
      <c r="B78" s="12">
        <f>IF(AND(c_basis="minimum_unmet",c_unmet=1,c_total&gt;=s_approaching_threshold),1,0)</f>
        <v>0</v>
      </c>
      <c r="C78" s="2" t="s">
        <v>517</v>
      </c>
    </row>
    <row r="79" spans="1:3" x14ac:dyDescent="0.3">
      <c r="A79" s="5" t="s">
        <v>518</v>
      </c>
      <c r="B79" s="12" t="str">
        <f>IF(c_gP=1,IF(c_shareP&gt;=s_domain_exceeds_level,"Exceeds","Meets"),IF(c_fracP&gt;0,"Approaching","Not met"))</f>
        <v>Not met</v>
      </c>
      <c r="C79" s="2" t="s">
        <v>519</v>
      </c>
    </row>
    <row r="80" spans="1:3" x14ac:dyDescent="0.3">
      <c r="A80" s="5" t="s">
        <v>520</v>
      </c>
      <c r="B80" s="12" t="str">
        <f>IF(c_gG=1,IF(c_shareG&gt;=s_domain_exceeds_level,"Exceeds","Meets"),IF(c_fracG&gt;0,"Approaching","Not met"))</f>
        <v>Not met</v>
      </c>
      <c r="C80" s="2" t="s">
        <v>521</v>
      </c>
    </row>
    <row r="81" spans="1:3" x14ac:dyDescent="0.3">
      <c r="A81" s="5" t="s">
        <v>522</v>
      </c>
      <c r="B81" s="12" t="str">
        <f>IF(c_gR=1,IF(c_shareR&gt;=s_domain_exceeds_level,"Exceeds","Meets"),IF(c_fracR&gt;0,"Approaching","Not met"))</f>
        <v>Not met</v>
      </c>
      <c r="C81" s="2" t="s">
        <v>523</v>
      </c>
    </row>
    <row r="82" spans="1:3" x14ac:dyDescent="0.3">
      <c r="A82" s="28" t="s">
        <v>524</v>
      </c>
    </row>
    <row r="83" spans="1:3" x14ac:dyDescent="0.3">
      <c r="A83" s="5" t="s">
        <v>525</v>
      </c>
      <c r="B83" s="12" t="str">
        <f>IF(c_gP=0,"publications","")&amp;IF(AND(c_gP=0,c_gG=0)," and ","")&amp;IF(c_gG=0,"grants and contracts","")</f>
        <v>publications and grants and contracts</v>
      </c>
      <c r="C83" s="2" t="s">
        <v>526</v>
      </c>
    </row>
    <row r="84" spans="1:3" x14ac:dyDescent="0.3">
      <c r="A84" s="5" t="s">
        <v>527</v>
      </c>
      <c r="B84" s="12" t="str">
        <f>c_unmet_pg&amp;IF(AND(c_unmet_pg&lt;&gt;"",c_gR=0)," and ","")&amp;IF(c_gR=0,"presentations","")</f>
        <v>publications and grants and contracts and presentations</v>
      </c>
      <c r="C84" s="2" t="s">
        <v>528</v>
      </c>
    </row>
    <row r="85" spans="1:3" x14ac:dyDescent="0.3">
      <c r="A85" s="5" t="s">
        <v>529</v>
      </c>
      <c r="B85" s="12" t="str">
        <f>IF(c_basis="empty","Enter the publications, grants and presentations for the year on the entry sheets.",IF(c_basis="incomplete","Some rows on the entry sheets are incomplete; see the 'Check this row' column.",IF(c_basis="not_evaluated","Not evaluated on research: no assigned research effort or no active months. Refer to the committee.",IF(c_basis="minimum_unmet","Minimum expectation not met in "&amp;c_unmet_names&amp;"."&amp;IF(c_approaching=1," Only one minimum is unmet and the score is at least "&amp;s_approaching_threshold&amp;", so this is flagged for committee review.",""),"All three minimum expectations are met. "&amp;IF(c_basis="below_meets_threshold","The score of "&amp;TEXT(c_total,"0.0")&amp;" is still below the Meets threshold of "&amp;s_meets_threshold&amp;".",IF(c_basis="exceeds_on_score","The score is at or above the Exceeds threshold of "&amp;s_exceeds_threshold&amp;".",IF(c_basis="exceeds_on_award","Exceeds Expectations is awarded for a new competitive large award as PI or MPI; the score itself is below the Exceeds threshold of "&amp;s_exceeds_threshold&amp;".",IF(c_basis="meets_lacks_breadth","The score reaches the Exceeds threshold of "&amp;s_exceeds_threshold&amp;", but Exceeds also needs two domains at "&amp;TEXT(s_breadth_level,"0%")&amp;" of their points.","Exceeds Expectations starts at "&amp;s_exceeds_threshold&amp;", "&amp;TEXT(s_exceeds_threshold-c_total,"0.0")&amp;" points away."))))))))</f>
        <v>Enter the publications, grants and presentations for the year on the entry sheets.</v>
      </c>
      <c r="C85" s="2" t="s">
        <v>530</v>
      </c>
    </row>
    <row r="86" spans="1:3" x14ac:dyDescent="0.3">
      <c r="A86" s="5" t="s">
        <v>531</v>
      </c>
      <c r="B86" s="12" t="str">
        <f>IF(c_pub_annual=1,c_pub_count&amp;" counted toward a minimum of "&amp;c_bcount,IF(c_pub_roll=1,"three-year rolling window ("&amp;(c_pub_count+N(o_pubs_prior2))&amp;" of "&amp;c_pub_need&amp;" required)","not met: "&amp;c_pub_count&amp;" counted toward a minimum of "&amp;c_bcount))</f>
        <v>not met: 0 counted toward a minimum of 2</v>
      </c>
      <c r="C86" s="2" t="s">
        <v>532</v>
      </c>
    </row>
    <row r="87" spans="1:3" x14ac:dyDescent="0.3">
      <c r="A87" s="5" t="s">
        <v>533</v>
      </c>
      <c r="B87" s="12" t="str">
        <f>IF(c_g_roll=1,"three-year rolling window",IF(c_g_first=1,"first-year faculty: documented proposal development",IF(c_g_raw=1,"qualifying submission, award or active funded project",IF(c_waived=1,"waived: reduced research assignment",IF(AND(c_reduced=1,c_g_partial=1),"reduced assignment: documented grant engagement","not met")))))</f>
        <v>not met</v>
      </c>
      <c r="C87" s="2" t="s">
        <v>534</v>
      </c>
    </row>
    <row r="88" spans="1:3" x14ac:dyDescent="0.3">
      <c r="A88" s="5" t="s">
        <v>535</v>
      </c>
      <c r="B88" s="12" t="str">
        <f>IF(c_r_raw=1,"qualifying conference presentation",IF(c_waived=1,"waived: reduced research assignment",IF(AND(c_documented=1,c_reduced=1,c_r_partial=1),"reduced assignment: documented dissemination activity",IF(c_r_roll=1,"three-year rolling window","not met"))))</f>
        <v>not met</v>
      </c>
      <c r="C88" s="2" t="s">
        <v>536</v>
      </c>
    </row>
    <row r="89" spans="1:3" x14ac:dyDescent="0.3">
      <c r="A89" s="5" t="s">
        <v>537</v>
      </c>
      <c r="B89" s="12" t="str">
        <f>IF(c_statusP="Exceeds","Publications","")&amp;IF(AND(c_statusP="Exceeds",c_statusG="Exceeds"),", ","")&amp;IF(c_statusG="Exceeds","Grants and contracts","")</f>
        <v/>
      </c>
      <c r="C89" s="2" t="s">
        <v>538</v>
      </c>
    </row>
    <row r="90" spans="1:3" x14ac:dyDescent="0.3">
      <c r="A90" s="5" t="s">
        <v>174</v>
      </c>
      <c r="B90" s="12" t="str">
        <f>IF(c_scored=0,"",IF(c_strong_pg&amp;IF(c_statusR="Exceeds","x","")="","No domain above "&amp;TEXT(s_domain_exceeds_level,"0%")&amp;" of its points this year.",c_strong_pg&amp;IF(AND(c_strong_pg&lt;&gt;"",c_statusR="Exceeds"),", ","")&amp;IF(c_statusR="Exceeds","Presentations","")))</f>
        <v/>
      </c>
      <c r="C90" s="2" t="s">
        <v>539</v>
      </c>
    </row>
    <row r="91" spans="1:3" x14ac:dyDescent="0.3">
      <c r="A91" s="5" t="s">
        <v>175</v>
      </c>
      <c r="B91" s="12" t="str">
        <f>IF(c_scored=0,"",IF(c_unmet=0,"All minimum expectations are met.",UPPER(LEFT(c_unmet_names,1))&amp;MID(c_unmet_names,2,200)))</f>
        <v/>
      </c>
      <c r="C91" s="2" t="s">
        <v>540</v>
      </c>
    </row>
    <row r="92" spans="1:3" x14ac:dyDescent="0.3">
      <c r="A92" s="5" t="s">
        <v>541</v>
      </c>
      <c r="B92" s="12" t="str">
        <f>IF(c_scored=0,"",IF(c_first=1,"First-year faculty: publication minimum "&amp;c_bcount&amp;".",IF(c_factor&lt;1,"Expectations prorated (adjustment factor "&amp;TEXT(c_factor,"0.00")&amp;"; publication minimum "&amp;c_bcount&amp;").","")))</f>
        <v/>
      </c>
      <c r="C92" s="2" t="s">
        <v>542</v>
      </c>
    </row>
    <row r="93" spans="1:3" x14ac:dyDescent="0.3">
      <c r="A93" s="5" t="s">
        <v>541</v>
      </c>
      <c r="B93" s="12" t="str">
        <f>IF(AND(c_scored=1,c_factor&gt;1),"Expectations scaled up for a research-intensive assignment (factor "&amp;TEXT(c_factor,"0.00")&amp;"; publication minimum "&amp;c_bcount&amp;").","")</f>
        <v/>
      </c>
      <c r="C93" s="2" t="s">
        <v>543</v>
      </c>
    </row>
    <row r="94" spans="1:3" x14ac:dyDescent="0.3">
      <c r="A94" s="5" t="s">
        <v>541</v>
      </c>
      <c r="B94" s="12" t="str">
        <f>IF(AND(c_scored=1,c_pub_roll=1),"Publication minimum met on the three-year rolling window, with a manuscript under review.","")</f>
        <v/>
      </c>
      <c r="C94" s="2" t="s">
        <v>544</v>
      </c>
    </row>
    <row r="95" spans="1:3" x14ac:dyDescent="0.3">
      <c r="A95" s="5" t="s">
        <v>541</v>
      </c>
      <c r="B95" s="12" t="str">
        <f>IF(AND(c_scored=1,c_gG=1,c_g_raw=0),"Grant minimum met by allowance: "&amp;c_basisG&amp;".","")</f>
        <v/>
      </c>
      <c r="C95" s="2" t="s">
        <v>545</v>
      </c>
    </row>
    <row r="96" spans="1:3" x14ac:dyDescent="0.3">
      <c r="A96" s="5" t="s">
        <v>541</v>
      </c>
      <c r="B96" s="12" t="str">
        <f>IF(AND(c_scored=1,c_gR=1,c_r_raw=0),"Presentation minimum met by allowance: "&amp;c_basisR&amp;".","")</f>
        <v/>
      </c>
      <c r="C96" s="2" t="s">
        <v>546</v>
      </c>
    </row>
    <row r="97" spans="1:3" x14ac:dyDescent="0.3">
      <c r="A97" s="5" t="s">
        <v>547</v>
      </c>
      <c r="B97" s="12" t="str">
        <f>IF(AND(c_scored=1,c_unmet&gt;0,c_total&gt;=s_meets_threshold),"Committee review: the score is at or above "&amp;s_meets_threshold&amp;" but a required minimum is unmet.",IF(AND(c_scored=1,c_unmet&gt;0,MAX(c_shareP,c_shareG,c_shareR)&gt;=s_distinguished_level),"Committee review: distinguished performance in one domain with a required minimum unmet.",IF(c_approaching=1,"Committee review: one required minimum is unmet and the score is at or above "&amp;s_approaching_threshold&amp;" (approaching expectations).","")))</f>
        <v/>
      </c>
      <c r="C97" s="2" t="s">
        <v>548</v>
      </c>
    </row>
    <row r="98" spans="1:3" x14ac:dyDescent="0.3">
      <c r="A98" s="5" t="s">
        <v>547</v>
      </c>
      <c r="B98" s="12" t="str">
        <f>IF(AND(c_scored=1,c_basis="below_meets_threshold"),"All minimums are met but the score is below the Meets threshold.","")</f>
        <v/>
      </c>
      <c r="C98" s="2" t="s">
        <v>549</v>
      </c>
    </row>
    <row r="99" spans="1:3" x14ac:dyDescent="0.3">
      <c r="A99" s="5" t="s">
        <v>547</v>
      </c>
      <c r="B99" s="12" t="str">
        <f>IF(AND(c_scored=1,SUM(GRA_subunits)&gt;s_submission_cap),"Submission credit capped at "&amp;s_submission_cap&amp;" units.","")</f>
        <v/>
      </c>
      <c r="C99" s="2" t="s">
        <v>550</v>
      </c>
    </row>
    <row r="100" spans="1:3" x14ac:dyDescent="0.3">
      <c r="A100" s="5" t="s">
        <v>547</v>
      </c>
      <c r="B100" s="12" t="str">
        <f>IF(AND(c_scored=1,COUNTIF(PUB_kind,"tier0")&gt;=3),"Committee review: "&amp;COUNTIF(PUB_kind,"tier0")&amp;" articles in questionable venues (not credited).","")</f>
        <v/>
      </c>
      <c r="C100" s="2" t="s">
        <v>551</v>
      </c>
    </row>
    <row r="101" spans="1:3" x14ac:dyDescent="0.3">
      <c r="A101" s="5" t="s">
        <v>547</v>
      </c>
      <c r="B101" s="12" t="str">
        <f>IF(c_scored=0,"",IF(COUNTIF(PUB_note,"?*")+COUNTIF(GRA_note,"?*")+COUNTIF(PRE_note,"?*")&gt;0,(COUNTIF(PUB_note,"?*")+COUNTIF(GRA_note,"?*")+COUNTIF(PRE_note,"?*"))&amp;" entry row(s) carry a note; see the Note column on the entry sheets.",""))</f>
        <v/>
      </c>
      <c r="C101" s="2" t="s">
        <v>552</v>
      </c>
    </row>
    <row r="102" spans="1:3" x14ac:dyDescent="0.3">
      <c r="A102" s="5" t="s">
        <v>553</v>
      </c>
      <c r="B102" s="12" t="str">
        <f>s_policy_name&amp;" | "&amp;s_policy_note&amp;" | "&amp;IF(c_changed=0,"settings match the shipped policy (fingerprint "&amp;d_fingerprint&amp;")",c_changed&amp;" setting(s) differ from the shipped policy")</f>
        <v>Provisional 2026 (pending committee approval) | Provisional defaults; not approved | settings match the shipped policy (fingerprint 690a203737)</v>
      </c>
      <c r="C102" s="2" t="s">
        <v>554</v>
      </c>
    </row>
  </sheetData>
  <sheetProtection sheet="1" formatColumns="0" formatRows="0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2"/>
  <sheetViews>
    <sheetView workbookViewId="0"/>
  </sheetViews>
  <sheetFormatPr defaultRowHeight="14.4" x14ac:dyDescent="0.3"/>
  <sheetData>
    <row r="1" spans="1:16" x14ac:dyDescent="0.3">
      <c r="A1" s="4" t="s">
        <v>555</v>
      </c>
      <c r="B1" s="4" t="s">
        <v>556</v>
      </c>
      <c r="C1" s="4" t="s">
        <v>557</v>
      </c>
      <c r="D1" s="4" t="s">
        <v>558</v>
      </c>
      <c r="E1" s="4" t="s">
        <v>559</v>
      </c>
      <c r="F1" s="4" t="s">
        <v>560</v>
      </c>
      <c r="G1" s="4" t="s">
        <v>561</v>
      </c>
      <c r="H1" s="4" t="s">
        <v>562</v>
      </c>
      <c r="I1" s="4" t="s">
        <v>563</v>
      </c>
      <c r="J1" s="4" t="s">
        <v>564</v>
      </c>
      <c r="K1" s="4" t="s">
        <v>565</v>
      </c>
      <c r="L1" s="4" t="s">
        <v>566</v>
      </c>
      <c r="M1" s="4" t="s">
        <v>567</v>
      </c>
      <c r="N1" s="4" t="s">
        <v>568</v>
      </c>
      <c r="O1" s="4" t="s">
        <v>569</v>
      </c>
      <c r="P1" s="4" t="s">
        <v>570</v>
      </c>
    </row>
    <row r="2" spans="1:16" x14ac:dyDescent="0.3">
      <c r="A2" s="15" t="s">
        <v>217</v>
      </c>
      <c r="B2" s="15" t="s">
        <v>571</v>
      </c>
      <c r="C2" s="15" t="s">
        <v>572</v>
      </c>
      <c r="D2" s="15" t="s">
        <v>303</v>
      </c>
      <c r="E2" s="15" t="s">
        <v>26</v>
      </c>
      <c r="F2" s="15" t="s">
        <v>296</v>
      </c>
      <c r="G2" s="15" t="s">
        <v>573</v>
      </c>
      <c r="H2" s="15" t="s">
        <v>574</v>
      </c>
      <c r="I2" s="15" t="s">
        <v>336</v>
      </c>
      <c r="J2" s="15" t="s">
        <v>575</v>
      </c>
      <c r="K2" s="15" t="s">
        <v>358</v>
      </c>
      <c r="L2" s="15" t="s">
        <v>35</v>
      </c>
      <c r="M2" s="15" t="s">
        <v>374</v>
      </c>
      <c r="N2" s="15" t="s">
        <v>576</v>
      </c>
      <c r="O2" s="15" t="s">
        <v>329</v>
      </c>
      <c r="P2" s="15" t="s">
        <v>354</v>
      </c>
    </row>
    <row r="3" spans="1:16" x14ac:dyDescent="0.3">
      <c r="A3" s="15" t="s">
        <v>230</v>
      </c>
      <c r="B3" s="15" t="s">
        <v>577</v>
      </c>
      <c r="C3" s="15" t="s">
        <v>578</v>
      </c>
      <c r="D3" s="15" t="s">
        <v>305</v>
      </c>
      <c r="E3" s="15" t="s">
        <v>28</v>
      </c>
      <c r="F3" s="15" t="s">
        <v>297</v>
      </c>
      <c r="G3" s="15" t="s">
        <v>579</v>
      </c>
      <c r="H3" s="15" t="s">
        <v>580</v>
      </c>
      <c r="I3" s="15" t="s">
        <v>337</v>
      </c>
      <c r="J3" s="15" t="s">
        <v>581</v>
      </c>
      <c r="K3" s="15" t="s">
        <v>359</v>
      </c>
      <c r="L3" s="15" t="s">
        <v>37</v>
      </c>
      <c r="M3" s="15" t="s">
        <v>376</v>
      </c>
      <c r="N3" s="15" t="s">
        <v>582</v>
      </c>
      <c r="O3" s="15" t="s">
        <v>330</v>
      </c>
      <c r="P3" s="15" t="s">
        <v>355</v>
      </c>
    </row>
    <row r="4" spans="1:16" x14ac:dyDescent="0.3">
      <c r="B4" s="15" t="s">
        <v>583</v>
      </c>
      <c r="C4" s="15" t="s">
        <v>584</v>
      </c>
      <c r="D4" s="15" t="s">
        <v>270</v>
      </c>
      <c r="E4" s="15" t="s">
        <v>30</v>
      </c>
      <c r="F4" s="15" t="s">
        <v>298</v>
      </c>
      <c r="G4" s="15" t="s">
        <v>585</v>
      </c>
      <c r="I4" s="15" t="s">
        <v>338</v>
      </c>
      <c r="J4" s="15" t="s">
        <v>586</v>
      </c>
      <c r="K4" s="15" t="s">
        <v>360</v>
      </c>
      <c r="L4" s="15" t="s">
        <v>39</v>
      </c>
      <c r="M4" s="15" t="s">
        <v>378</v>
      </c>
      <c r="N4" s="15" t="s">
        <v>587</v>
      </c>
      <c r="O4" s="15" t="s">
        <v>331</v>
      </c>
    </row>
    <row r="5" spans="1:16" x14ac:dyDescent="0.3">
      <c r="B5" s="15" t="s">
        <v>588</v>
      </c>
      <c r="C5" s="15" t="s">
        <v>588</v>
      </c>
      <c r="D5" s="15" t="s">
        <v>308</v>
      </c>
      <c r="E5" s="15" t="s">
        <v>290</v>
      </c>
      <c r="F5" s="15" t="s">
        <v>299</v>
      </c>
      <c r="G5" s="15" t="s">
        <v>589</v>
      </c>
      <c r="I5" s="15" t="s">
        <v>339</v>
      </c>
      <c r="K5" s="15" t="s">
        <v>361</v>
      </c>
      <c r="L5" s="15" t="s">
        <v>370</v>
      </c>
      <c r="M5" s="15" t="s">
        <v>590</v>
      </c>
      <c r="N5" s="15" t="s">
        <v>591</v>
      </c>
      <c r="O5" s="15" t="s">
        <v>332</v>
      </c>
    </row>
    <row r="6" spans="1:16" x14ac:dyDescent="0.3">
      <c r="D6" s="15" t="s">
        <v>310</v>
      </c>
      <c r="E6" s="15" t="s">
        <v>590</v>
      </c>
      <c r="F6" s="15" t="s">
        <v>300</v>
      </c>
      <c r="G6" s="15" t="s">
        <v>592</v>
      </c>
      <c r="I6" s="15" t="s">
        <v>340</v>
      </c>
      <c r="K6" s="15" t="s">
        <v>362</v>
      </c>
      <c r="L6" s="15" t="s">
        <v>590</v>
      </c>
      <c r="N6" s="15" t="s">
        <v>593</v>
      </c>
      <c r="O6" s="15" t="s">
        <v>333</v>
      </c>
    </row>
    <row r="7" spans="1:16" x14ac:dyDescent="0.3">
      <c r="D7" s="15" t="s">
        <v>312</v>
      </c>
      <c r="F7" s="15" t="s">
        <v>590</v>
      </c>
      <c r="I7" s="15" t="s">
        <v>342</v>
      </c>
      <c r="K7" s="15" t="s">
        <v>363</v>
      </c>
    </row>
    <row r="8" spans="1:16" x14ac:dyDescent="0.3">
      <c r="D8" s="15" t="s">
        <v>314</v>
      </c>
      <c r="I8" s="15" t="s">
        <v>590</v>
      </c>
      <c r="K8" s="15" t="s">
        <v>364</v>
      </c>
    </row>
    <row r="9" spans="1:16" x14ac:dyDescent="0.3">
      <c r="D9" s="15" t="s">
        <v>316</v>
      </c>
      <c r="K9" s="15" t="s">
        <v>365</v>
      </c>
    </row>
    <row r="10" spans="1:16" x14ac:dyDescent="0.3">
      <c r="D10" s="15" t="s">
        <v>318</v>
      </c>
      <c r="K10" s="15" t="s">
        <v>366</v>
      </c>
    </row>
    <row r="11" spans="1:16" x14ac:dyDescent="0.3">
      <c r="D11" s="15" t="s">
        <v>320</v>
      </c>
      <c r="K11" s="15" t="s">
        <v>367</v>
      </c>
    </row>
    <row r="12" spans="1:16" x14ac:dyDescent="0.3">
      <c r="D12" s="15" t="s">
        <v>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80"/>
  <sheetViews>
    <sheetView workbookViewId="0"/>
  </sheetViews>
  <sheetFormatPr defaultRowHeight="14.4" x14ac:dyDescent="0.3"/>
  <sheetData>
    <row r="1" spans="1:10" x14ac:dyDescent="0.3">
      <c r="A1" t="s">
        <v>202</v>
      </c>
      <c r="J1" s="29" t="s">
        <v>594</v>
      </c>
    </row>
    <row r="2" spans="1:10" x14ac:dyDescent="0.3">
      <c r="A2" t="s">
        <v>203</v>
      </c>
      <c r="J2" s="15" t="s">
        <v>595</v>
      </c>
    </row>
    <row r="4" spans="1:10" x14ac:dyDescent="0.3">
      <c r="A4" t="s">
        <v>204</v>
      </c>
      <c r="B4" t="s">
        <v>205</v>
      </c>
    </row>
    <row r="5" spans="1:10" x14ac:dyDescent="0.3">
      <c r="A5" t="s">
        <v>206</v>
      </c>
      <c r="B5" t="s">
        <v>207</v>
      </c>
    </row>
    <row r="7" spans="1:10" x14ac:dyDescent="0.3">
      <c r="A7" t="s">
        <v>208</v>
      </c>
      <c r="B7" t="s">
        <v>209</v>
      </c>
      <c r="C7" t="s">
        <v>210</v>
      </c>
    </row>
    <row r="8" spans="1:10" x14ac:dyDescent="0.3">
      <c r="A8" t="s">
        <v>211</v>
      </c>
      <c r="B8">
        <v>50</v>
      </c>
    </row>
    <row r="9" spans="1:10" x14ac:dyDescent="0.3">
      <c r="A9" t="s">
        <v>212</v>
      </c>
      <c r="B9">
        <v>35</v>
      </c>
    </row>
    <row r="10" spans="1:10" x14ac:dyDescent="0.3">
      <c r="A10" t="s">
        <v>213</v>
      </c>
      <c r="B10">
        <v>15</v>
      </c>
    </row>
    <row r="11" spans="1:10" x14ac:dyDescent="0.3">
      <c r="A11" t="s">
        <v>214</v>
      </c>
      <c r="B11">
        <v>0.7</v>
      </c>
    </row>
    <row r="12" spans="1:10" x14ac:dyDescent="0.3">
      <c r="A12" t="s">
        <v>215</v>
      </c>
      <c r="B12">
        <v>70</v>
      </c>
    </row>
    <row r="13" spans="1:10" x14ac:dyDescent="0.3">
      <c r="A13" t="s">
        <v>216</v>
      </c>
      <c r="B13" t="s">
        <v>217</v>
      </c>
    </row>
    <row r="14" spans="1:10" x14ac:dyDescent="0.3">
      <c r="A14" t="s">
        <v>218</v>
      </c>
      <c r="B14">
        <v>85</v>
      </c>
    </row>
    <row r="15" spans="1:10" x14ac:dyDescent="0.3">
      <c r="A15" t="s">
        <v>219</v>
      </c>
      <c r="B15" t="s">
        <v>220</v>
      </c>
      <c r="C15" t="s">
        <v>221</v>
      </c>
    </row>
    <row r="16" spans="1:10" x14ac:dyDescent="0.3">
      <c r="A16" t="s">
        <v>222</v>
      </c>
      <c r="B16">
        <v>0.8</v>
      </c>
    </row>
    <row r="17" spans="1:3" x14ac:dyDescent="0.3">
      <c r="A17" t="s">
        <v>223</v>
      </c>
      <c r="B17">
        <v>80</v>
      </c>
    </row>
    <row r="18" spans="1:3" x14ac:dyDescent="0.3">
      <c r="A18" t="s">
        <v>224</v>
      </c>
      <c r="B18">
        <v>60</v>
      </c>
    </row>
    <row r="19" spans="1:3" x14ac:dyDescent="0.3">
      <c r="A19" t="s">
        <v>225</v>
      </c>
      <c r="B19">
        <v>0.85</v>
      </c>
    </row>
    <row r="20" spans="1:3" x14ac:dyDescent="0.3">
      <c r="A20" t="s">
        <v>226</v>
      </c>
      <c r="B20">
        <v>0.9</v>
      </c>
    </row>
    <row r="22" spans="1:3" x14ac:dyDescent="0.3">
      <c r="A22" t="s">
        <v>227</v>
      </c>
      <c r="B22" t="s">
        <v>209</v>
      </c>
      <c r="C22" t="s">
        <v>210</v>
      </c>
    </row>
    <row r="23" spans="1:3" x14ac:dyDescent="0.3">
      <c r="A23" t="s">
        <v>228</v>
      </c>
      <c r="B23">
        <v>2</v>
      </c>
    </row>
    <row r="24" spans="1:3" x14ac:dyDescent="0.3">
      <c r="A24" t="s">
        <v>229</v>
      </c>
      <c r="B24" t="s">
        <v>230</v>
      </c>
    </row>
    <row r="26" spans="1:3" x14ac:dyDescent="0.3">
      <c r="A26" t="s">
        <v>231</v>
      </c>
      <c r="B26" t="s">
        <v>209</v>
      </c>
      <c r="C26" t="s">
        <v>210</v>
      </c>
    </row>
    <row r="27" spans="1:3" x14ac:dyDescent="0.3">
      <c r="A27" t="s">
        <v>232</v>
      </c>
      <c r="B27">
        <v>40</v>
      </c>
    </row>
    <row r="28" spans="1:3" x14ac:dyDescent="0.3">
      <c r="A28" t="s">
        <v>233</v>
      </c>
      <c r="B28">
        <v>0.25</v>
      </c>
    </row>
    <row r="29" spans="1:3" x14ac:dyDescent="0.3">
      <c r="A29" t="s">
        <v>234</v>
      </c>
      <c r="B29">
        <v>1.5</v>
      </c>
    </row>
    <row r="30" spans="1:3" x14ac:dyDescent="0.3">
      <c r="A30" t="s">
        <v>235</v>
      </c>
      <c r="B30" t="s">
        <v>230</v>
      </c>
    </row>
    <row r="31" spans="1:3" x14ac:dyDescent="0.3">
      <c r="A31" t="s">
        <v>236</v>
      </c>
      <c r="B31">
        <v>0.5</v>
      </c>
    </row>
    <row r="32" spans="1:3" x14ac:dyDescent="0.3">
      <c r="A32" t="s">
        <v>237</v>
      </c>
      <c r="B32" t="s">
        <v>238</v>
      </c>
      <c r="C32" t="s">
        <v>239</v>
      </c>
    </row>
    <row r="33" spans="1:3" x14ac:dyDescent="0.3">
      <c r="A33" t="s">
        <v>240</v>
      </c>
      <c r="B33">
        <v>1</v>
      </c>
    </row>
    <row r="34" spans="1:3" x14ac:dyDescent="0.3">
      <c r="A34" t="s">
        <v>241</v>
      </c>
      <c r="B34" t="s">
        <v>242</v>
      </c>
      <c r="C34" t="s">
        <v>243</v>
      </c>
    </row>
    <row r="36" spans="1:3" x14ac:dyDescent="0.3">
      <c r="A36" t="s">
        <v>244</v>
      </c>
      <c r="B36" t="s">
        <v>209</v>
      </c>
      <c r="C36" t="s">
        <v>210</v>
      </c>
    </row>
    <row r="37" spans="1:3" x14ac:dyDescent="0.3">
      <c r="A37" t="s">
        <v>245</v>
      </c>
      <c r="B37" t="s">
        <v>217</v>
      </c>
    </row>
    <row r="38" spans="1:3" x14ac:dyDescent="0.3">
      <c r="A38" t="s">
        <v>246</v>
      </c>
      <c r="B38" t="s">
        <v>217</v>
      </c>
    </row>
    <row r="39" spans="1:3" x14ac:dyDescent="0.3">
      <c r="A39" t="s">
        <v>247</v>
      </c>
      <c r="B39" t="s">
        <v>217</v>
      </c>
    </row>
    <row r="40" spans="1:3" x14ac:dyDescent="0.3">
      <c r="A40" t="s">
        <v>248</v>
      </c>
      <c r="B40" t="s">
        <v>217</v>
      </c>
    </row>
    <row r="41" spans="1:3" x14ac:dyDescent="0.3">
      <c r="A41" t="s">
        <v>249</v>
      </c>
      <c r="B41">
        <v>10000</v>
      </c>
    </row>
    <row r="42" spans="1:3" x14ac:dyDescent="0.3">
      <c r="A42" t="s">
        <v>250</v>
      </c>
      <c r="B42">
        <v>250000</v>
      </c>
    </row>
    <row r="43" spans="1:3" x14ac:dyDescent="0.3">
      <c r="A43" t="s">
        <v>251</v>
      </c>
      <c r="B43" t="s">
        <v>252</v>
      </c>
      <c r="C43" t="s">
        <v>253</v>
      </c>
    </row>
    <row r="44" spans="1:3" x14ac:dyDescent="0.3">
      <c r="A44" t="s">
        <v>254</v>
      </c>
      <c r="B44" t="s">
        <v>217</v>
      </c>
    </row>
    <row r="45" spans="1:3" x14ac:dyDescent="0.3">
      <c r="A45" t="s">
        <v>255</v>
      </c>
      <c r="B45" t="s">
        <v>256</v>
      </c>
    </row>
    <row r="46" spans="1:3" x14ac:dyDescent="0.3">
      <c r="A46" t="s">
        <v>257</v>
      </c>
      <c r="B46" t="s">
        <v>258</v>
      </c>
    </row>
    <row r="47" spans="1:3" x14ac:dyDescent="0.3">
      <c r="A47" t="s">
        <v>259</v>
      </c>
      <c r="B47" t="s">
        <v>258</v>
      </c>
    </row>
    <row r="49" spans="1:3" x14ac:dyDescent="0.3">
      <c r="A49" t="s">
        <v>260</v>
      </c>
      <c r="B49" t="s">
        <v>209</v>
      </c>
      <c r="C49" t="s">
        <v>210</v>
      </c>
    </row>
    <row r="50" spans="1:3" x14ac:dyDescent="0.3">
      <c r="A50" t="s">
        <v>261</v>
      </c>
      <c r="B50">
        <v>2</v>
      </c>
    </row>
    <row r="51" spans="1:3" x14ac:dyDescent="0.3">
      <c r="A51" t="s">
        <v>262</v>
      </c>
      <c r="B51">
        <v>1</v>
      </c>
    </row>
    <row r="52" spans="1:3" x14ac:dyDescent="0.3">
      <c r="A52" t="s">
        <v>263</v>
      </c>
      <c r="B52">
        <v>1</v>
      </c>
    </row>
    <row r="53" spans="1:3" x14ac:dyDescent="0.3">
      <c r="A53" t="s">
        <v>264</v>
      </c>
      <c r="B53">
        <v>4</v>
      </c>
    </row>
    <row r="54" spans="1:3" x14ac:dyDescent="0.3">
      <c r="A54" t="s">
        <v>265</v>
      </c>
      <c r="B54">
        <v>4</v>
      </c>
    </row>
    <row r="55" spans="1:3" x14ac:dyDescent="0.3">
      <c r="A55" t="s">
        <v>266</v>
      </c>
      <c r="B55">
        <v>4</v>
      </c>
    </row>
    <row r="56" spans="1:3" x14ac:dyDescent="0.3">
      <c r="A56" t="s">
        <v>267</v>
      </c>
      <c r="B56">
        <v>0.25</v>
      </c>
    </row>
    <row r="57" spans="1:3" x14ac:dyDescent="0.3">
      <c r="A57" t="s">
        <v>268</v>
      </c>
      <c r="B57">
        <v>3</v>
      </c>
    </row>
    <row r="58" spans="1:3" x14ac:dyDescent="0.3">
      <c r="A58" t="s">
        <v>269</v>
      </c>
      <c r="B58">
        <v>0.7</v>
      </c>
    </row>
    <row r="59" spans="1:3" x14ac:dyDescent="0.3">
      <c r="A59" t="s">
        <v>270</v>
      </c>
      <c r="B59">
        <v>0.75</v>
      </c>
    </row>
    <row r="60" spans="1:3" x14ac:dyDescent="0.3">
      <c r="A60" t="s">
        <v>271</v>
      </c>
      <c r="B60">
        <v>2.25</v>
      </c>
    </row>
    <row r="61" spans="1:3" x14ac:dyDescent="0.3">
      <c r="A61" t="s">
        <v>272</v>
      </c>
      <c r="B61">
        <v>2</v>
      </c>
    </row>
    <row r="62" spans="1:3" x14ac:dyDescent="0.3">
      <c r="A62" t="s">
        <v>273</v>
      </c>
      <c r="B62">
        <v>1</v>
      </c>
    </row>
    <row r="63" spans="1:3" x14ac:dyDescent="0.3">
      <c r="A63" t="s">
        <v>274</v>
      </c>
      <c r="B63">
        <v>0.5</v>
      </c>
    </row>
    <row r="64" spans="1:3" x14ac:dyDescent="0.3">
      <c r="A64" t="s">
        <v>275</v>
      </c>
      <c r="B64">
        <v>1</v>
      </c>
    </row>
    <row r="65" spans="1:3" x14ac:dyDescent="0.3">
      <c r="A65" t="s">
        <v>276</v>
      </c>
      <c r="B65">
        <v>0.5</v>
      </c>
    </row>
    <row r="66" spans="1:3" x14ac:dyDescent="0.3">
      <c r="A66" t="s">
        <v>277</v>
      </c>
      <c r="B66">
        <v>0.75</v>
      </c>
    </row>
    <row r="67" spans="1:3" x14ac:dyDescent="0.3">
      <c r="A67" t="s">
        <v>278</v>
      </c>
      <c r="B67">
        <v>0.25</v>
      </c>
    </row>
    <row r="68" spans="1:3" x14ac:dyDescent="0.3">
      <c r="A68" t="s">
        <v>279</v>
      </c>
      <c r="B68">
        <v>2.5</v>
      </c>
    </row>
    <row r="69" spans="1:3" x14ac:dyDescent="0.3">
      <c r="A69" t="s">
        <v>280</v>
      </c>
      <c r="B69">
        <v>0.5</v>
      </c>
    </row>
    <row r="70" spans="1:3" x14ac:dyDescent="0.3">
      <c r="A70" t="s">
        <v>281</v>
      </c>
      <c r="B70">
        <v>1</v>
      </c>
    </row>
    <row r="71" spans="1:3" x14ac:dyDescent="0.3">
      <c r="A71" t="s">
        <v>282</v>
      </c>
      <c r="B71">
        <v>0.75</v>
      </c>
    </row>
    <row r="72" spans="1:3" x14ac:dyDescent="0.3">
      <c r="A72" t="s">
        <v>283</v>
      </c>
      <c r="B72">
        <v>0.25</v>
      </c>
    </row>
    <row r="73" spans="1:3" x14ac:dyDescent="0.3">
      <c r="A73" t="s">
        <v>284</v>
      </c>
      <c r="B73">
        <v>0.75</v>
      </c>
    </row>
    <row r="74" spans="1:3" x14ac:dyDescent="0.3">
      <c r="A74" t="s">
        <v>285</v>
      </c>
      <c r="B74">
        <v>0.3</v>
      </c>
    </row>
    <row r="75" spans="1:3" x14ac:dyDescent="0.3">
      <c r="A75" t="s">
        <v>286</v>
      </c>
      <c r="B75">
        <v>0.6</v>
      </c>
    </row>
    <row r="76" spans="1:3" x14ac:dyDescent="0.3">
      <c r="A76" t="s">
        <v>287</v>
      </c>
      <c r="B76">
        <v>1</v>
      </c>
    </row>
    <row r="78" spans="1:3" x14ac:dyDescent="0.3">
      <c r="A78" t="s">
        <v>25</v>
      </c>
    </row>
    <row r="79" spans="1:3" x14ac:dyDescent="0.3">
      <c r="A79" t="s">
        <v>81</v>
      </c>
      <c r="B79" t="s">
        <v>288</v>
      </c>
      <c r="C79" t="s">
        <v>289</v>
      </c>
    </row>
    <row r="80" spans="1:3" x14ac:dyDescent="0.3">
      <c r="A80" t="s">
        <v>26</v>
      </c>
      <c r="B80">
        <v>1</v>
      </c>
      <c r="C80">
        <v>1.5</v>
      </c>
    </row>
    <row r="81" spans="1:3" x14ac:dyDescent="0.3">
      <c r="A81" t="s">
        <v>28</v>
      </c>
      <c r="B81">
        <v>2</v>
      </c>
      <c r="C81">
        <v>1.25</v>
      </c>
    </row>
    <row r="82" spans="1:3" x14ac:dyDescent="0.3">
      <c r="A82" t="s">
        <v>30</v>
      </c>
      <c r="B82">
        <v>3</v>
      </c>
      <c r="C82">
        <v>1</v>
      </c>
    </row>
    <row r="83" spans="1:3" x14ac:dyDescent="0.3">
      <c r="A83" t="s">
        <v>290</v>
      </c>
      <c r="B83">
        <v>0</v>
      </c>
      <c r="C83">
        <v>0</v>
      </c>
    </row>
    <row r="85" spans="1:3" x14ac:dyDescent="0.3">
      <c r="A85" t="s">
        <v>291</v>
      </c>
    </row>
    <row r="86" spans="1:3" x14ac:dyDescent="0.3">
      <c r="A86" t="s">
        <v>83</v>
      </c>
      <c r="B86" t="s">
        <v>289</v>
      </c>
    </row>
    <row r="87" spans="1:3" x14ac:dyDescent="0.3">
      <c r="A87" t="s">
        <v>292</v>
      </c>
      <c r="B87">
        <v>1</v>
      </c>
    </row>
    <row r="88" spans="1:3" x14ac:dyDescent="0.3">
      <c r="A88" t="s">
        <v>293</v>
      </c>
      <c r="B88">
        <v>0.85</v>
      </c>
    </row>
    <row r="89" spans="1:3" x14ac:dyDescent="0.3">
      <c r="A89" t="s">
        <v>258</v>
      </c>
      <c r="B89">
        <v>0.7</v>
      </c>
    </row>
    <row r="91" spans="1:3" x14ac:dyDescent="0.3">
      <c r="A91" t="s">
        <v>294</v>
      </c>
    </row>
    <row r="92" spans="1:3" x14ac:dyDescent="0.3">
      <c r="A92" t="s">
        <v>295</v>
      </c>
      <c r="B92" t="s">
        <v>85</v>
      </c>
    </row>
    <row r="93" spans="1:3" x14ac:dyDescent="0.3">
      <c r="A93" t="s">
        <v>296</v>
      </c>
      <c r="B93" t="s">
        <v>292</v>
      </c>
    </row>
    <row r="94" spans="1:3" x14ac:dyDescent="0.3">
      <c r="A94" t="s">
        <v>297</v>
      </c>
      <c r="B94" t="s">
        <v>292</v>
      </c>
    </row>
    <row r="95" spans="1:3" x14ac:dyDescent="0.3">
      <c r="A95" t="s">
        <v>298</v>
      </c>
      <c r="B95" t="s">
        <v>292</v>
      </c>
    </row>
    <row r="96" spans="1:3" x14ac:dyDescent="0.3">
      <c r="A96" t="s">
        <v>299</v>
      </c>
      <c r="B96" t="s">
        <v>293</v>
      </c>
    </row>
    <row r="97" spans="1:2" x14ac:dyDescent="0.3">
      <c r="A97" t="s">
        <v>300</v>
      </c>
      <c r="B97" t="s">
        <v>258</v>
      </c>
    </row>
    <row r="99" spans="1:2" x14ac:dyDescent="0.3">
      <c r="A99" t="s">
        <v>301</v>
      </c>
    </row>
    <row r="100" spans="1:2" x14ac:dyDescent="0.3">
      <c r="A100" t="s">
        <v>295</v>
      </c>
      <c r="B100" t="s">
        <v>302</v>
      </c>
    </row>
    <row r="101" spans="1:2" x14ac:dyDescent="0.3">
      <c r="A101" t="s">
        <v>303</v>
      </c>
      <c r="B101" t="s">
        <v>304</v>
      </c>
    </row>
    <row r="102" spans="1:2" x14ac:dyDescent="0.3">
      <c r="A102" t="s">
        <v>305</v>
      </c>
      <c r="B102" t="s">
        <v>306</v>
      </c>
    </row>
    <row r="103" spans="1:2" x14ac:dyDescent="0.3">
      <c r="A103" t="s">
        <v>270</v>
      </c>
      <c r="B103" t="s">
        <v>307</v>
      </c>
    </row>
    <row r="104" spans="1:2" x14ac:dyDescent="0.3">
      <c r="A104" t="s">
        <v>308</v>
      </c>
      <c r="B104" t="s">
        <v>309</v>
      </c>
    </row>
    <row r="105" spans="1:2" x14ac:dyDescent="0.3">
      <c r="A105" t="s">
        <v>310</v>
      </c>
      <c r="B105" t="s">
        <v>311</v>
      </c>
    </row>
    <row r="106" spans="1:2" x14ac:dyDescent="0.3">
      <c r="A106" t="s">
        <v>312</v>
      </c>
      <c r="B106" t="s">
        <v>313</v>
      </c>
    </row>
    <row r="107" spans="1:2" x14ac:dyDescent="0.3">
      <c r="A107" t="s">
        <v>314</v>
      </c>
      <c r="B107" t="s">
        <v>315</v>
      </c>
    </row>
    <row r="108" spans="1:2" x14ac:dyDescent="0.3">
      <c r="A108" t="s">
        <v>316</v>
      </c>
      <c r="B108" t="s">
        <v>317</v>
      </c>
    </row>
    <row r="109" spans="1:2" x14ac:dyDescent="0.3">
      <c r="A109" t="s">
        <v>318</v>
      </c>
      <c r="B109" t="s">
        <v>319</v>
      </c>
    </row>
    <row r="110" spans="1:2" x14ac:dyDescent="0.3">
      <c r="A110" t="s">
        <v>320</v>
      </c>
      <c r="B110" t="s">
        <v>321</v>
      </c>
    </row>
    <row r="111" spans="1:2" x14ac:dyDescent="0.3">
      <c r="A111" t="s">
        <v>322</v>
      </c>
      <c r="B111" t="s">
        <v>323</v>
      </c>
    </row>
    <row r="113" spans="1:2" x14ac:dyDescent="0.3">
      <c r="A113" t="s">
        <v>324</v>
      </c>
    </row>
    <row r="114" spans="1:2" x14ac:dyDescent="0.3">
      <c r="A114" t="s">
        <v>302</v>
      </c>
      <c r="B114" t="s">
        <v>144</v>
      </c>
    </row>
    <row r="115" spans="1:2" x14ac:dyDescent="0.3">
      <c r="A115" t="s">
        <v>309</v>
      </c>
      <c r="B115">
        <v>1</v>
      </c>
    </row>
    <row r="116" spans="1:2" x14ac:dyDescent="0.3">
      <c r="A116" t="s">
        <v>311</v>
      </c>
      <c r="B116">
        <v>0.5</v>
      </c>
    </row>
    <row r="117" spans="1:2" x14ac:dyDescent="0.3">
      <c r="A117" t="s">
        <v>313</v>
      </c>
      <c r="B117">
        <v>0.5</v>
      </c>
    </row>
    <row r="118" spans="1:2" x14ac:dyDescent="0.3">
      <c r="A118" t="s">
        <v>315</v>
      </c>
      <c r="B118">
        <v>0.75</v>
      </c>
    </row>
    <row r="119" spans="1:2" x14ac:dyDescent="0.3">
      <c r="A119" t="s">
        <v>317</v>
      </c>
      <c r="B119">
        <v>0.75</v>
      </c>
    </row>
    <row r="120" spans="1:2" x14ac:dyDescent="0.3">
      <c r="A120" t="s">
        <v>319</v>
      </c>
      <c r="B120">
        <v>0.4</v>
      </c>
    </row>
    <row r="121" spans="1:2" x14ac:dyDescent="0.3">
      <c r="A121" t="s">
        <v>321</v>
      </c>
      <c r="B121">
        <v>0.2</v>
      </c>
    </row>
    <row r="122" spans="1:2" x14ac:dyDescent="0.3">
      <c r="A122" t="s">
        <v>325</v>
      </c>
      <c r="B122">
        <v>0.4</v>
      </c>
    </row>
    <row r="123" spans="1:2" x14ac:dyDescent="0.3">
      <c r="A123" t="s">
        <v>323</v>
      </c>
      <c r="B123">
        <v>0.2</v>
      </c>
    </row>
    <row r="124" spans="1:2" x14ac:dyDescent="0.3">
      <c r="A124" t="s">
        <v>326</v>
      </c>
      <c r="B124">
        <v>1</v>
      </c>
    </row>
    <row r="125" spans="1:2" x14ac:dyDescent="0.3">
      <c r="A125" t="s">
        <v>327</v>
      </c>
      <c r="B125">
        <v>0.4</v>
      </c>
    </row>
    <row r="127" spans="1:2" x14ac:dyDescent="0.3">
      <c r="A127" t="s">
        <v>328</v>
      </c>
    </row>
    <row r="128" spans="1:2" x14ac:dyDescent="0.3">
      <c r="A128" t="s">
        <v>83</v>
      </c>
      <c r="B128" t="s">
        <v>144</v>
      </c>
    </row>
    <row r="129" spans="1:5" x14ac:dyDescent="0.3">
      <c r="A129" t="s">
        <v>329</v>
      </c>
      <c r="B129">
        <v>1</v>
      </c>
    </row>
    <row r="130" spans="1:5" x14ac:dyDescent="0.3">
      <c r="A130" t="s">
        <v>330</v>
      </c>
      <c r="B130">
        <v>0.75</v>
      </c>
    </row>
    <row r="131" spans="1:5" x14ac:dyDescent="0.3">
      <c r="A131" t="s">
        <v>331</v>
      </c>
      <c r="B131">
        <v>0.5</v>
      </c>
    </row>
    <row r="132" spans="1:5" x14ac:dyDescent="0.3">
      <c r="A132" t="s">
        <v>332</v>
      </c>
      <c r="B132">
        <v>0.5</v>
      </c>
    </row>
    <row r="133" spans="1:5" x14ac:dyDescent="0.3">
      <c r="A133" t="s">
        <v>333</v>
      </c>
      <c r="B133">
        <v>0.1</v>
      </c>
    </row>
    <row r="135" spans="1:5" x14ac:dyDescent="0.3">
      <c r="A135" t="s">
        <v>334</v>
      </c>
    </row>
    <row r="136" spans="1:5" x14ac:dyDescent="0.3">
      <c r="A136" t="s">
        <v>83</v>
      </c>
      <c r="B136" t="s">
        <v>302</v>
      </c>
      <c r="C136" t="s">
        <v>289</v>
      </c>
      <c r="D136" t="s">
        <v>110</v>
      </c>
      <c r="E136" t="s">
        <v>335</v>
      </c>
    </row>
    <row r="137" spans="1:5" x14ac:dyDescent="0.3">
      <c r="A137" t="s">
        <v>336</v>
      </c>
      <c r="B137" t="s">
        <v>336</v>
      </c>
      <c r="C137">
        <v>1</v>
      </c>
      <c r="D137" t="s">
        <v>217</v>
      </c>
      <c r="E137" t="s">
        <v>217</v>
      </c>
    </row>
    <row r="138" spans="1:5" x14ac:dyDescent="0.3">
      <c r="A138" t="s">
        <v>337</v>
      </c>
      <c r="B138" t="s">
        <v>337</v>
      </c>
      <c r="C138">
        <v>1</v>
      </c>
      <c r="D138" t="s">
        <v>217</v>
      </c>
      <c r="E138" t="s">
        <v>217</v>
      </c>
    </row>
    <row r="139" spans="1:5" x14ac:dyDescent="0.3">
      <c r="A139" t="s">
        <v>338</v>
      </c>
      <c r="B139" t="s">
        <v>338</v>
      </c>
      <c r="C139">
        <v>0.8</v>
      </c>
      <c r="D139" t="s">
        <v>217</v>
      </c>
      <c r="E139" t="s">
        <v>217</v>
      </c>
    </row>
    <row r="140" spans="1:5" x14ac:dyDescent="0.3">
      <c r="A140" t="s">
        <v>339</v>
      </c>
      <c r="B140" t="s">
        <v>339</v>
      </c>
      <c r="C140">
        <v>0.5</v>
      </c>
      <c r="D140" t="s">
        <v>217</v>
      </c>
      <c r="E140" t="s">
        <v>217</v>
      </c>
    </row>
    <row r="141" spans="1:5" x14ac:dyDescent="0.3">
      <c r="A141" t="s">
        <v>340</v>
      </c>
      <c r="B141" t="s">
        <v>341</v>
      </c>
      <c r="C141">
        <v>0.25</v>
      </c>
      <c r="D141" t="s">
        <v>230</v>
      </c>
      <c r="E141" t="s">
        <v>230</v>
      </c>
    </row>
    <row r="142" spans="1:5" x14ac:dyDescent="0.3">
      <c r="A142" t="s">
        <v>342</v>
      </c>
      <c r="B142" t="s">
        <v>343</v>
      </c>
      <c r="C142">
        <v>0.25</v>
      </c>
      <c r="D142" t="s">
        <v>230</v>
      </c>
      <c r="E142" t="s">
        <v>230</v>
      </c>
    </row>
    <row r="144" spans="1:5" x14ac:dyDescent="0.3">
      <c r="A144" t="s">
        <v>344</v>
      </c>
    </row>
    <row r="145" spans="1:3" x14ac:dyDescent="0.3">
      <c r="A145" t="s">
        <v>345</v>
      </c>
      <c r="B145" t="s">
        <v>346</v>
      </c>
      <c r="C145" t="s">
        <v>347</v>
      </c>
    </row>
    <row r="146" spans="1:3" x14ac:dyDescent="0.3">
      <c r="A146" t="s">
        <v>348</v>
      </c>
      <c r="B146">
        <v>0.4</v>
      </c>
      <c r="C146">
        <v>0.75</v>
      </c>
    </row>
    <row r="147" spans="1:3" x14ac:dyDescent="0.3">
      <c r="A147" t="s">
        <v>349</v>
      </c>
      <c r="B147">
        <v>0.5</v>
      </c>
      <c r="C147">
        <v>1</v>
      </c>
    </row>
    <row r="148" spans="1:3" x14ac:dyDescent="0.3">
      <c r="A148" t="s">
        <v>350</v>
      </c>
      <c r="B148">
        <v>1</v>
      </c>
      <c r="C148">
        <v>2</v>
      </c>
    </row>
    <row r="149" spans="1:3" x14ac:dyDescent="0.3">
      <c r="A149" t="s">
        <v>351</v>
      </c>
      <c r="B149">
        <v>1.5</v>
      </c>
      <c r="C149">
        <v>3</v>
      </c>
    </row>
    <row r="151" spans="1:3" x14ac:dyDescent="0.3">
      <c r="A151" t="s">
        <v>352</v>
      </c>
    </row>
    <row r="152" spans="1:3" x14ac:dyDescent="0.3">
      <c r="A152" t="s">
        <v>353</v>
      </c>
      <c r="B152" t="s">
        <v>144</v>
      </c>
    </row>
    <row r="153" spans="1:3" x14ac:dyDescent="0.3">
      <c r="A153" t="s">
        <v>354</v>
      </c>
      <c r="B153">
        <v>0.75</v>
      </c>
    </row>
    <row r="154" spans="1:3" x14ac:dyDescent="0.3">
      <c r="A154" t="s">
        <v>355</v>
      </c>
      <c r="B154">
        <v>0.4</v>
      </c>
    </row>
    <row r="156" spans="1:3" x14ac:dyDescent="0.3">
      <c r="A156" t="s">
        <v>356</v>
      </c>
    </row>
    <row r="157" spans="1:3" x14ac:dyDescent="0.3">
      <c r="A157" t="s">
        <v>66</v>
      </c>
      <c r="B157" t="s">
        <v>132</v>
      </c>
      <c r="C157" t="s">
        <v>357</v>
      </c>
    </row>
    <row r="158" spans="1:3" x14ac:dyDescent="0.3">
      <c r="A158" t="s">
        <v>358</v>
      </c>
      <c r="B158">
        <v>2</v>
      </c>
      <c r="C158" t="s">
        <v>230</v>
      </c>
    </row>
    <row r="159" spans="1:3" x14ac:dyDescent="0.3">
      <c r="A159" t="s">
        <v>359</v>
      </c>
      <c r="B159">
        <v>2</v>
      </c>
      <c r="C159" t="s">
        <v>230</v>
      </c>
    </row>
    <row r="160" spans="1:3" x14ac:dyDescent="0.3">
      <c r="A160" t="s">
        <v>360</v>
      </c>
      <c r="B160">
        <v>1.25</v>
      </c>
      <c r="C160" t="s">
        <v>230</v>
      </c>
    </row>
    <row r="161" spans="1:3" x14ac:dyDescent="0.3">
      <c r="A161" t="s">
        <v>361</v>
      </c>
      <c r="B161">
        <v>1</v>
      </c>
      <c r="C161" t="s">
        <v>230</v>
      </c>
    </row>
    <row r="162" spans="1:3" x14ac:dyDescent="0.3">
      <c r="A162" t="s">
        <v>362</v>
      </c>
      <c r="B162">
        <v>0.75</v>
      </c>
      <c r="C162" t="s">
        <v>230</v>
      </c>
    </row>
    <row r="163" spans="1:3" x14ac:dyDescent="0.3">
      <c r="A163" t="s">
        <v>363</v>
      </c>
      <c r="B163">
        <v>0.75</v>
      </c>
      <c r="C163" t="s">
        <v>230</v>
      </c>
    </row>
    <row r="164" spans="1:3" x14ac:dyDescent="0.3">
      <c r="A164" t="s">
        <v>364</v>
      </c>
      <c r="B164">
        <v>0.6</v>
      </c>
      <c r="C164" t="s">
        <v>230</v>
      </c>
    </row>
    <row r="165" spans="1:3" x14ac:dyDescent="0.3">
      <c r="A165" t="s">
        <v>365</v>
      </c>
      <c r="B165">
        <v>0.3</v>
      </c>
      <c r="C165" t="s">
        <v>217</v>
      </c>
    </row>
    <row r="166" spans="1:3" x14ac:dyDescent="0.3">
      <c r="A166" t="s">
        <v>366</v>
      </c>
      <c r="B166">
        <v>0.3</v>
      </c>
      <c r="C166" t="s">
        <v>217</v>
      </c>
    </row>
    <row r="167" spans="1:3" x14ac:dyDescent="0.3">
      <c r="A167" t="s">
        <v>367</v>
      </c>
      <c r="B167">
        <v>0.2</v>
      </c>
      <c r="C167" t="s">
        <v>217</v>
      </c>
    </row>
    <row r="169" spans="1:3" x14ac:dyDescent="0.3">
      <c r="A169" t="s">
        <v>34</v>
      </c>
    </row>
    <row r="170" spans="1:3" x14ac:dyDescent="0.3">
      <c r="A170" t="s">
        <v>81</v>
      </c>
      <c r="B170" t="s">
        <v>302</v>
      </c>
      <c r="C170" t="s">
        <v>289</v>
      </c>
    </row>
    <row r="171" spans="1:3" x14ac:dyDescent="0.3">
      <c r="A171" t="s">
        <v>35</v>
      </c>
      <c r="B171" t="s">
        <v>368</v>
      </c>
      <c r="C171">
        <v>1.25</v>
      </c>
    </row>
    <row r="172" spans="1:3" x14ac:dyDescent="0.3">
      <c r="A172" t="s">
        <v>37</v>
      </c>
      <c r="B172" t="s">
        <v>369</v>
      </c>
      <c r="C172">
        <v>1</v>
      </c>
    </row>
    <row r="173" spans="1:3" x14ac:dyDescent="0.3">
      <c r="A173" t="s">
        <v>39</v>
      </c>
      <c r="B173" t="s">
        <v>256</v>
      </c>
      <c r="C173">
        <v>0.6</v>
      </c>
    </row>
    <row r="174" spans="1:3" x14ac:dyDescent="0.3">
      <c r="A174" t="s">
        <v>370</v>
      </c>
      <c r="B174" t="s">
        <v>371</v>
      </c>
      <c r="C174">
        <v>0</v>
      </c>
    </row>
    <row r="176" spans="1:3" x14ac:dyDescent="0.3">
      <c r="A176" t="s">
        <v>372</v>
      </c>
    </row>
    <row r="177" spans="1:4" x14ac:dyDescent="0.3">
      <c r="A177" t="s">
        <v>83</v>
      </c>
      <c r="B177" t="s">
        <v>302</v>
      </c>
      <c r="C177" t="s">
        <v>289</v>
      </c>
      <c r="D177" t="s">
        <v>373</v>
      </c>
    </row>
    <row r="178" spans="1:4" x14ac:dyDescent="0.3">
      <c r="A178" t="s">
        <v>374</v>
      </c>
      <c r="B178" t="s">
        <v>375</v>
      </c>
      <c r="C178">
        <v>1</v>
      </c>
      <c r="D178" t="s">
        <v>217</v>
      </c>
    </row>
    <row r="179" spans="1:4" x14ac:dyDescent="0.3">
      <c r="A179" t="s">
        <v>376</v>
      </c>
      <c r="B179" t="s">
        <v>377</v>
      </c>
      <c r="C179">
        <v>0.5</v>
      </c>
      <c r="D179" t="s">
        <v>217</v>
      </c>
    </row>
    <row r="180" spans="1:4" x14ac:dyDescent="0.3">
      <c r="A180" t="s">
        <v>378</v>
      </c>
      <c r="B180" t="s">
        <v>258</v>
      </c>
      <c r="C180">
        <v>0.4</v>
      </c>
      <c r="D180" t="s">
        <v>230</v>
      </c>
    </row>
  </sheetData>
  <sheetProtection sheet="1" formatColumns="0" formatRow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291</vt:i4>
      </vt:variant>
    </vt:vector>
  </HeadingPairs>
  <TitlesOfParts>
    <vt:vector size="303" baseType="lpstr">
      <vt:lpstr>Instructions</vt:lpstr>
      <vt:lpstr>Faculty</vt:lpstr>
      <vt:lpstr>Publications</vt:lpstr>
      <vt:lpstr>Grants</vt:lpstr>
      <vt:lpstr>Presentations</vt:lpstr>
      <vt:lpstr>Other</vt:lpstr>
      <vt:lpstr>Dashboard</vt:lpstr>
      <vt:lpstr>Report</vt:lpstr>
      <vt:lpstr>Settings</vt:lpstr>
      <vt:lpstr>Calc</vt:lpstr>
      <vt:lpstr>Lists</vt:lpstr>
      <vt:lpstr>Defaults</vt:lpstr>
      <vt:lpstr>AU_code</vt:lpstr>
      <vt:lpstr>AU_label</vt:lpstr>
      <vt:lpstr>c_approaching</vt:lpstr>
      <vt:lpstr>c_basis</vt:lpstr>
      <vt:lpstr>c_basisG</vt:lpstr>
      <vt:lpstr>c_basisP</vt:lpstr>
      <vt:lpstr>c_basisR</vt:lpstr>
      <vt:lpstr>c_bcount</vt:lpstr>
      <vt:lpstr>c_broad</vt:lpstr>
      <vt:lpstr>c_bunits</vt:lpstr>
      <vt:lpstr>c_by_total</vt:lpstr>
      <vt:lpstr>c_changed</vt:lpstr>
      <vt:lpstr>c_class</vt:lpstr>
      <vt:lpstr>c_distinct</vt:lpstr>
      <vt:lpstr>c_documented</vt:lpstr>
      <vt:lpstr>c_effort</vt:lpstr>
      <vt:lpstr>c_empty</vt:lpstr>
      <vt:lpstr>c_errG</vt:lpstr>
      <vt:lpstr>c_errP</vt:lpstr>
      <vt:lpstr>c_errR</vt:lpstr>
      <vt:lpstr>c_factor</vt:lpstr>
      <vt:lpstr>c_first</vt:lpstr>
      <vt:lpstr>c_flag1</vt:lpstr>
      <vt:lpstr>c_flag2</vt:lpstr>
      <vt:lpstr>c_flag3</vt:lpstr>
      <vt:lpstr>c_flag4</vt:lpstr>
      <vt:lpstr>c_flag5</vt:lpstr>
      <vt:lpstr>c_fracG</vt:lpstr>
      <vt:lpstr>c_fracP</vt:lpstr>
      <vt:lpstr>c_fracR</vt:lpstr>
      <vt:lpstr>c_g_first</vt:lpstr>
      <vt:lpstr>c_g_partial</vt:lpstr>
      <vt:lpstr>c_g_raw</vt:lpstr>
      <vt:lpstr>c_g_review</vt:lpstr>
      <vt:lpstr>c_g_roll</vt:lpstr>
      <vt:lpstr>c_g_units</vt:lpstr>
      <vt:lpstr>c_g4</vt:lpstr>
      <vt:lpstr>c_gap</vt:lpstr>
      <vt:lpstr>c_gG</vt:lpstr>
      <vt:lpstr>c_gP</vt:lpstr>
      <vt:lpstr>c_gR</vt:lpstr>
      <vt:lpstr>c_left1</vt:lpstr>
      <vt:lpstr>c_left2</vt:lpstr>
      <vt:lpstr>c_months</vt:lpstr>
      <vt:lpstr>c_needs</vt:lpstr>
      <vt:lpstr>c_needs_breadth</vt:lpstr>
      <vt:lpstr>c_not_evaluated</vt:lpstr>
      <vt:lpstr>c_note1</vt:lpstr>
      <vt:lpstr>c_note2</vt:lpstr>
      <vt:lpstr>c_note3</vt:lpstr>
      <vt:lpstr>c_note4</vt:lpstr>
      <vt:lpstr>c_note5</vt:lpstr>
      <vt:lpstr>c_on_award</vt:lpstr>
      <vt:lpstr>c_on_score</vt:lpstr>
      <vt:lpstr>c_ownG</vt:lpstr>
      <vt:lpstr>c_ownP</vt:lpstr>
      <vt:lpstr>c_ownR</vt:lpstr>
      <vt:lpstr>c_pid</vt:lpstr>
      <vt:lpstr>c_policy</vt:lpstr>
      <vt:lpstr>c_problems</vt:lpstr>
      <vt:lpstr>c_pub_annual</vt:lpstr>
      <vt:lpstr>c_pub_chapters</vt:lpstr>
      <vt:lpstr>c_pub_count</vt:lpstr>
      <vt:lpstr>c_pub_need</vt:lpstr>
      <vt:lpstr>c_pub_roll</vt:lpstr>
      <vt:lpstr>c_pub_units</vt:lpstr>
      <vt:lpstr>c_r_partial</vt:lpstr>
      <vt:lpstr>c_r_raw</vt:lpstr>
      <vt:lpstr>c_r_roll</vt:lpstr>
      <vt:lpstr>c_r_units</vt:lpstr>
      <vt:lpstr>c_r2</vt:lpstr>
      <vt:lpstr>c_rawG</vt:lpstr>
      <vt:lpstr>c_rawP</vt:lpstr>
      <vt:lpstr>c_rawR</vt:lpstr>
      <vt:lpstr>c_reason</vt:lpstr>
      <vt:lpstr>c_reduced</vt:lpstr>
      <vt:lpstr>c_sat_scale</vt:lpstr>
      <vt:lpstr>c_scored</vt:lpstr>
      <vt:lpstr>c_shareG</vt:lpstr>
      <vt:lpstr>c_shareP</vt:lpstr>
      <vt:lpstr>c_shareR</vt:lpstr>
      <vt:lpstr>c_showG</vt:lpstr>
      <vt:lpstr>c_showP</vt:lpstr>
      <vt:lpstr>c_showR</vt:lpstr>
      <vt:lpstr>c_statusG</vt:lpstr>
      <vt:lpstr>c_statusP</vt:lpstr>
      <vt:lpstr>c_statusR</vt:lpstr>
      <vt:lpstr>c_strengths</vt:lpstr>
      <vt:lpstr>c_strong_pg</vt:lpstr>
      <vt:lpstr>c_total</vt:lpstr>
      <vt:lpstr>c_unmet</vt:lpstr>
      <vt:lpstr>c_unmet_names</vt:lpstr>
      <vt:lpstr>c_unmet_pg</vt:lpstr>
      <vt:lpstr>c_waived</vt:lpstr>
      <vt:lpstr>d_fingerprint</vt:lpstr>
      <vt:lpstr>ED_label</vt:lpstr>
      <vt:lpstr>ED_units</vt:lpstr>
      <vt:lpstr>f_appointment</vt:lpstr>
      <vt:lpstr>f_department</vt:lpstr>
      <vt:lpstr>f_effort</vt:lpstr>
      <vt:lpstr>f_first_year</vt:lpstr>
      <vt:lpstr>f_id</vt:lpstr>
      <vt:lpstr>f_months</vt:lpstr>
      <vt:lpstr>f_name</vt:lpstr>
      <vt:lpstr>f_rank</vt:lpstr>
      <vt:lpstr>f_year</vt:lpstr>
      <vt:lpstr>GR_code</vt:lpstr>
      <vt:lpstr>GR_gate</vt:lpstr>
      <vt:lpstr>GR_label</vt:lpstr>
      <vt:lpstr>GR_mult</vt:lpstr>
      <vt:lpstr>GR_subst</vt:lpstr>
      <vt:lpstr>GRA_active</vt:lpstr>
      <vt:lpstr>GRA_awardgate</vt:lpstr>
      <vt:lpstr>GRA_awardpartial</vt:lpstr>
      <vt:lpstr>GRA_awardunits</vt:lpstr>
      <vt:lpstr>GRA_comp</vt:lpstr>
      <vt:lpstr>GRA_deduped</vt:lpstr>
      <vt:lpstr>GRA_distinct</vt:lpstr>
      <vt:lpstr>GRA_gaterole</vt:lpstr>
      <vt:lpstr>GRA_isaward</vt:lpstr>
      <vt:lpstr>GRA_issub</vt:lpstr>
      <vt:lpstr>GRA_meets</vt:lpstr>
      <vt:lpstr>GRA_note</vt:lpstr>
      <vt:lpstr>GRA_ok</vt:lpstr>
      <vt:lpstr>GRA_prior</vt:lpstr>
      <vt:lpstr>GRA_problem</vt:lpstr>
      <vt:lpstr>GRA_rolecode</vt:lpstr>
      <vt:lpstr>GRA_rolemult</vt:lpstr>
      <vt:lpstr>GRA_size</vt:lpstr>
      <vt:lpstr>GRA_subpartial</vt:lpstr>
      <vt:lpstr>GRA_subst</vt:lpstr>
      <vt:lpstr>GRA_subunits</vt:lpstr>
      <vt:lpstr>GRA_used</vt:lpstr>
      <vt:lpstr>L_appointment</vt:lpstr>
      <vt:lpstr>L_authorship</vt:lpstr>
      <vt:lpstr>L_editorial</vt:lpstr>
      <vt:lpstr>L_grantrole</vt:lpstr>
      <vt:lpstr>L_presrole</vt:lpstr>
      <vt:lpstr>L_prestype</vt:lpstr>
      <vt:lpstr>L_pubtype</vt:lpstr>
      <vt:lpstr>L_quartile</vt:lpstr>
      <vt:lpstr>L_rank</vt:lpstr>
      <vt:lpstr>L_review</vt:lpstr>
      <vt:lpstr>L_scope</vt:lpstr>
      <vt:lpstr>L_source</vt:lpstr>
      <vt:lpstr>L_status</vt:lpstr>
      <vt:lpstr>L_tier</vt:lpstr>
      <vt:lpstr>L_venue</vt:lpstr>
      <vt:lpstr>L_yesno</vt:lpstr>
      <vt:lpstr>o_abstracts</vt:lpstr>
      <vt:lpstr>o_chaired</vt:lpstr>
      <vt:lpstr>o_grant_prior2</vt:lpstr>
      <vt:lpstr>o_manuscripts</vt:lpstr>
      <vt:lpstr>o_pid</vt:lpstr>
      <vt:lpstr>o_pres_prior2</vt:lpstr>
      <vt:lpstr>o_pubs_prior2</vt:lpstr>
      <vt:lpstr>o_unfunded</vt:lpstr>
      <vt:lpstr>OO_key</vt:lpstr>
      <vt:lpstr>OO_units</vt:lpstr>
      <vt:lpstr>OT_editorial</vt:lpstr>
      <vt:lpstr>OT_review</vt:lpstr>
      <vt:lpstr>PR_base</vt:lpstr>
      <vt:lpstr>PR_label</vt:lpstr>
      <vt:lpstr>PR_local</vt:lpstr>
      <vt:lpstr>PRE_base</vt:lpstr>
      <vt:lpstr>PRE_gate</vt:lpstr>
      <vt:lpstr>PRE_local</vt:lpstr>
      <vt:lpstr>PRE_localunits</vt:lpstr>
      <vt:lpstr>PRE_note</vt:lpstr>
      <vt:lpstr>PRE_ok</vt:lpstr>
      <vt:lpstr>PRE_partial</vt:lpstr>
      <vt:lpstr>PRE_problem</vt:lpstr>
      <vt:lpstr>PRE_rolecode</vt:lpstr>
      <vt:lpstr>PRE_rolegate</vt:lpstr>
      <vt:lpstr>PRE_rolemult</vt:lpstr>
      <vt:lpstr>PRE_units</vt:lpstr>
      <vt:lpstr>PRE_used</vt:lpstr>
      <vt:lpstr>PRE_venue</vt:lpstr>
      <vt:lpstr>PRE_venuemult</vt:lpstr>
      <vt:lpstr>Report!Print_Area</vt:lpstr>
      <vt:lpstr>PT_code</vt:lpstr>
      <vt:lpstr>PT_label</vt:lpstr>
      <vt:lpstr>PUB_chapter</vt:lpstr>
      <vt:lpstr>PUB_code</vt:lpstr>
      <vt:lpstr>PUB_count</vt:lpstr>
      <vt:lpstr>PUB_doi</vt:lpstr>
      <vt:lpstr>PUB_doiraw</vt:lpstr>
      <vt:lpstr>PUB_dup</vt:lpstr>
      <vt:lpstr>PUB_expected</vt:lpstr>
      <vt:lpstr>PUB_impact</vt:lpstr>
      <vt:lpstr>PUB_ischap</vt:lpstr>
      <vt:lpstr>PUB_kept</vt:lpstr>
      <vt:lpstr>PUB_kind</vt:lpstr>
      <vt:lpstr>PUB_live</vt:lpstr>
      <vt:lpstr>PUB_main</vt:lpstr>
      <vt:lpstr>PUB_note</vt:lpstr>
      <vt:lpstr>PUB_ok</vt:lpstr>
      <vt:lpstr>PUB_other</vt:lpstr>
      <vt:lpstr>PUB_otherunits</vt:lpstr>
      <vt:lpstr>PUB_peer</vt:lpstr>
      <vt:lpstr>PUB_prior</vt:lpstr>
      <vt:lpstr>PUB_problem</vt:lpstr>
      <vt:lpstr>PUB_role</vt:lpstr>
      <vt:lpstr>PUB_rolemult</vt:lpstr>
      <vt:lpstr>PUB_tier</vt:lpstr>
      <vt:lpstr>PUB_tiermult</vt:lpstr>
      <vt:lpstr>PUB_used</vt:lpstr>
      <vt:lpstr>RM_code</vt:lpstr>
      <vt:lpstr>RM_mult</vt:lpstr>
      <vt:lpstr>RO_code</vt:lpstr>
      <vt:lpstr>RO_gate</vt:lpstr>
      <vt:lpstr>RO_label</vt:lpstr>
      <vt:lpstr>RO_mult</vt:lpstr>
      <vt:lpstr>RV_label</vt:lpstr>
      <vt:lpstr>RV_units</vt:lpstr>
      <vt:lpstr>s_amount_bands_large_min</vt:lpstr>
      <vt:lpstr>s_amount_bands_minor_max</vt:lpstr>
      <vt:lpstr>s_anchor_share</vt:lpstr>
      <vt:lpstr>s_approaching_threshold</vt:lpstr>
      <vt:lpstr>s_benchmark_units_G</vt:lpstr>
      <vt:lpstr>s_benchmark_units_P</vt:lpstr>
      <vt:lpstr>s_benchmark_units_R</vt:lpstr>
      <vt:lpstr>s_book_coauthor_mult</vt:lpstr>
      <vt:lpstr>s_book_units</vt:lpstr>
      <vt:lpstr>s_breadth_level</vt:lpstr>
      <vt:lpstr>s_chair_cap</vt:lpstr>
      <vt:lpstr>s_chair_units</vt:lpstr>
      <vt:lpstr>s_chapter_cap</vt:lpstr>
      <vt:lpstr>s_chapter_units</vt:lpstr>
      <vt:lpstr>s_dedupe_doi</vt:lpstr>
      <vt:lpstr>s_dedupe_submission_award</vt:lpstr>
      <vt:lpstr>s_development_cap</vt:lpstr>
      <vt:lpstr>s_development_units</vt:lpstr>
      <vt:lpstr>s_distinction_min_total</vt:lpstr>
      <vt:lpstr>s_distinguished_level</vt:lpstr>
      <vt:lpstr>s_domain_exceeds_level</vt:lpstr>
      <vt:lpstr>s_editorial_cap</vt:lpstr>
      <vt:lpstr>s_enforce_meets_threshold</vt:lpstr>
      <vt:lpstr>s_evaluate_zero_assignment</vt:lpstr>
      <vt:lpstr>s_exceeds_rule</vt:lpstr>
      <vt:lpstr>s_exceeds_threshold</vt:lpstr>
      <vt:lpstr>s_factor_max</vt:lpstr>
      <vt:lpstr>s_factor_min</vt:lpstr>
      <vt:lpstr>s_grant_gate_requires_external</vt:lpstr>
      <vt:lpstr>s_grant_review_cap</vt:lpstr>
      <vt:lpstr>s_honour_prior_year_publications</vt:lpstr>
      <vt:lpstr>s_impact_cap</vt:lpstr>
      <vt:lpstr>s_impact_units</vt:lpstr>
      <vt:lpstr>s_implementation_cap</vt:lpstr>
      <vt:lpstr>s_implementation_units</vt:lpstr>
      <vt:lpstr>s_local_cap</vt:lpstr>
      <vt:lpstr>s_meets_threshold</vt:lpstr>
      <vt:lpstr>s_missing_defaults_book_role</vt:lpstr>
      <vt:lpstr>s_missing_defaults_pres_role</vt:lpstr>
      <vt:lpstr>s_missing_defaults_venue</vt:lpstr>
      <vt:lpstr>s_noncompetitive_award_mult</vt:lpstr>
      <vt:lpstr>s_noncompetitive_mult</vt:lpstr>
      <vt:lpstr>s_normalise_ids</vt:lpstr>
      <vt:lpstr>s_other_output_cap</vt:lpstr>
      <vt:lpstr>s_policy_name</vt:lpstr>
      <vt:lpstr>s_policy_note</vt:lpstr>
      <vt:lpstr>s_pub_min_count</vt:lpstr>
      <vt:lpstr>s_reduced_assignment_factor</vt:lpstr>
      <vt:lpstr>s_reduced_assignment_rule</vt:lpstr>
      <vt:lpstr>s_rolling_benchmark</vt:lpstr>
      <vt:lpstr>s_rolling_max_domains</vt:lpstr>
      <vt:lpstr>s_rounding</vt:lpstr>
      <vt:lpstr>s_saturation_G</vt:lpstr>
      <vt:lpstr>s_saturation_P</vt:lpstr>
      <vt:lpstr>s_saturation_R</vt:lpstr>
      <vt:lpstr>s_scored_bonus</vt:lpstr>
      <vt:lpstr>s_standard_research_effort</vt:lpstr>
      <vt:lpstr>s_student_mentee_increment</vt:lpstr>
      <vt:lpstr>s_submission_cap</vt:lpstr>
      <vt:lpstr>s_total_from_rounded_parts</vt:lpstr>
      <vt:lpstr>s_weights_G</vt:lpstr>
      <vt:lpstr>s_weights_P</vt:lpstr>
      <vt:lpstr>s_weights_R</vt:lpstr>
      <vt:lpstr>SZ_award</vt:lpstr>
      <vt:lpstr>SZ_band</vt:lpstr>
      <vt:lpstr>SZ_sub</vt:lpstr>
      <vt:lpstr>TR_label</vt:lpstr>
      <vt:lpstr>TR_mult</vt:lpstr>
      <vt:lpstr>TR_num</vt:lpstr>
      <vt:lpstr>VN_code</vt:lpstr>
      <vt:lpstr>VN_label</vt:lpstr>
      <vt:lpstr>VN_mult</vt:lpstr>
      <vt:lpstr>x_awards</vt:lpstr>
      <vt:lpstr>x_community</vt:lpstr>
      <vt:lpstr>x_mentoring</vt:lpstr>
      <vt:lpstr>x_notes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Lawali, Mahamadou</cp:lastModifiedBy>
  <dcterms:created xsi:type="dcterms:W3CDTF">2026-10-10T22:19:46Z</dcterms:created>
  <dcterms:modified xsi:type="dcterms:W3CDTF">2026-10-10T22:20:01Z</dcterms:modified>
</cp:coreProperties>
</file>